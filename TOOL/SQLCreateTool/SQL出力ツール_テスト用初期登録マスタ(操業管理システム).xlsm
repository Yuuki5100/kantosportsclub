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dison.sharepoint.com/sites/public_ict_dev/Shared Documents/99_社内/00_【共有フォルダ】CE事業部/11_部内ルール/01.システム開発標準/00.ドキュメント体系/08.テスト仕様書・観点表/"/>
    </mc:Choice>
  </mc:AlternateContent>
  <xr:revisionPtr revIDLastSave="0" documentId="13_ncr:1_{34DA6034-ADE1-4901-A887-55D11DD03B86}" xr6:coauthVersionLast="47" xr6:coauthVersionMax="47" xr10:uidLastSave="{00000000-0000-0000-0000-000000000000}"/>
  <bookViews>
    <workbookView xWindow="28680" yWindow="-120" windowWidth="29040" windowHeight="15720" firstSheet="3" activeTab="3" xr2:uid="{AD3A223C-095A-436B-A5CD-B5D07361B2ED}"/>
  </bookViews>
  <sheets>
    <sheet name="改訂履歴" sheetId="4" r:id="rId1"/>
    <sheet name="ヘッダー" sheetId="1" r:id="rId2"/>
    <sheet name="リスト" sheetId="6" state="hidden" r:id="rId3"/>
    <sheet name="実行フォーム" sheetId="28" r:id="rId4"/>
    <sheet name="登録ステップ" sheetId="12" r:id="rId5"/>
    <sheet name="拠点マスタ" sheetId="16" r:id="rId6"/>
    <sheet name="組織マスタ" sheetId="17" r:id="rId7"/>
    <sheet name="ロールマスタ" sheetId="19" r:id="rId8"/>
    <sheet name="ロール操作機能マスタ" sheetId="20" r:id="rId9"/>
    <sheet name="ユーザマスタ" sheetId="18" r:id="rId10"/>
    <sheet name="システム設定" sheetId="15" r:id="rId11"/>
    <sheet name="事業管理設定" sheetId="27" r:id="rId12"/>
    <sheet name="部門マスタ" sheetId="21" r:id="rId13"/>
    <sheet name="取引先マスタ" sheetId="22" r:id="rId14"/>
    <sheet name="取引先関連拠点マスタ" sheetId="23" r:id="rId15"/>
    <sheet name="品目区分マスタ" sheetId="11" r:id="rId16"/>
    <sheet name="プラ形態タイプマスタ" sheetId="24" r:id="rId17"/>
    <sheet name="品目マスタ" sheetId="25" r:id="rId18"/>
    <sheet name="品目プラ形態タイプマスタ" sheetId="26" r:id="rId19"/>
    <sheet name="ロケーションマスタ" sheetId="13" r:id="rId20"/>
  </sheets>
  <definedNames>
    <definedName name="_xlnm.Print_Titles" localSheetId="1">ヘッダー!$1:$4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9" i="11" l="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18" i="11"/>
  <c r="B17" i="11"/>
  <c r="B21" i="11"/>
  <c r="B19" i="11"/>
  <c r="B20" i="11"/>
  <c r="B16" i="11"/>
  <c r="B15" i="11"/>
  <c r="B14" i="11"/>
  <c r="B13" i="11"/>
  <c r="B12" i="11"/>
  <c r="B11" i="11"/>
  <c r="C20" i="13"/>
  <c r="C19" i="13"/>
  <c r="C18" i="13"/>
  <c r="C23" i="13"/>
  <c r="C22" i="13"/>
  <c r="C21" i="13"/>
  <c r="C17" i="13"/>
  <c r="C16" i="13"/>
  <c r="C15" i="13"/>
  <c r="C14" i="13"/>
  <c r="C13" i="13"/>
  <c r="C12" i="13"/>
  <c r="C11" i="13"/>
  <c r="C27" i="13"/>
  <c r="C26" i="13"/>
  <c r="C25" i="13"/>
  <c r="C24" i="13"/>
  <c r="C10" i="13"/>
  <c r="C9" i="13"/>
  <c r="G3" i="1"/>
  <c r="F3" i="1"/>
  <c r="E3" i="1"/>
  <c r="G2" i="1"/>
  <c r="F2" i="1"/>
</calcChain>
</file>

<file path=xl/sharedStrings.xml><?xml version="1.0" encoding="utf-8"?>
<sst xmlns="http://schemas.openxmlformats.org/spreadsheetml/2006/main" count="2100" uniqueCount="503">
  <si>
    <t>改訂履歴</t>
    <rPh sb="0" eb="4">
      <t>カイテイリレキ</t>
    </rPh>
    <phoneticPr fontId="5"/>
  </si>
  <si>
    <t>版</t>
    <rPh sb="0" eb="1">
      <t>ハン</t>
    </rPh>
    <phoneticPr fontId="5"/>
  </si>
  <si>
    <t>更新日</t>
    <rPh sb="0" eb="3">
      <t>コウシンビ</t>
    </rPh>
    <phoneticPr fontId="5"/>
  </si>
  <si>
    <t>更新者</t>
    <rPh sb="0" eb="2">
      <t>コウシン</t>
    </rPh>
    <rPh sb="2" eb="3">
      <t>シャ</t>
    </rPh>
    <phoneticPr fontId="5"/>
  </si>
  <si>
    <t>更新内容</t>
    <rPh sb="0" eb="4">
      <t>コウシンナイヨウ</t>
    </rPh>
    <phoneticPr fontId="5"/>
  </si>
  <si>
    <t>平澤　栞菜</t>
    <rPh sb="0" eb="2">
      <t>ヒラサワ</t>
    </rPh>
    <rPh sb="3" eb="5">
      <t>カンナ</t>
    </rPh>
    <phoneticPr fontId="5"/>
  </si>
  <si>
    <t>新規作成</t>
  </si>
  <si>
    <t>UI--</t>
    <phoneticPr fontId="3"/>
  </si>
  <si>
    <t>固定マスタ</t>
    <rPh sb="0" eb="2">
      <t>コテイ</t>
    </rPh>
    <phoneticPr fontId="3"/>
  </si>
  <si>
    <t>システム名</t>
    <rPh sb="4" eb="5">
      <t>メイ</t>
    </rPh>
    <phoneticPr fontId="4"/>
  </si>
  <si>
    <t>サブシステム名</t>
    <rPh sb="6" eb="7">
      <t>メイ</t>
    </rPh>
    <phoneticPr fontId="4"/>
  </si>
  <si>
    <t>版数</t>
    <rPh sb="0" eb="2">
      <t>ハンスウ</t>
    </rPh>
    <phoneticPr fontId="4"/>
  </si>
  <si>
    <t>作成日</t>
    <rPh sb="0" eb="3">
      <t>サクセイビ</t>
    </rPh>
    <phoneticPr fontId="4"/>
  </si>
  <si>
    <t>作成者</t>
    <rPh sb="0" eb="3">
      <t>サクセイシャ</t>
    </rPh>
    <phoneticPr fontId="3"/>
  </si>
  <si>
    <t>ケミカルリサイクル・ジャパン基幹
システム構築プロジェクト</t>
    <rPh sb="14" eb="16">
      <t>キカン</t>
    </rPh>
    <rPh sb="21" eb="23">
      <t>コウチク</t>
    </rPh>
    <phoneticPr fontId="3"/>
  </si>
  <si>
    <t>CRJ　Navi（仮）</t>
    <rPh sb="9" eb="10">
      <t>カリ</t>
    </rPh>
    <phoneticPr fontId="3"/>
  </si>
  <si>
    <t>初版</t>
    <rPh sb="0" eb="2">
      <t>ショハン</t>
    </rPh>
    <phoneticPr fontId="4"/>
  </si>
  <si>
    <t>メイン</t>
    <phoneticPr fontId="5"/>
  </si>
  <si>
    <t>○</t>
    <phoneticPr fontId="5"/>
  </si>
  <si>
    <t>サブ</t>
    <phoneticPr fontId="5"/>
  </si>
  <si>
    <t>△</t>
    <phoneticPr fontId="5"/>
  </si>
  <si>
    <t>ー</t>
    <phoneticPr fontId="5"/>
  </si>
  <si>
    <t>●</t>
  </si>
  <si>
    <t>実行フォームだよん</t>
    <rPh sb="0" eb="2">
      <t>ジッコウ</t>
    </rPh>
    <phoneticPr fontId="5"/>
  </si>
  <si>
    <r>
      <t>(╯°□°）╯</t>
    </r>
    <r>
      <rPr>
        <sz val="11"/>
        <color theme="1"/>
        <rFont val="游ゴシック"/>
        <family val="3"/>
        <charset val="129"/>
        <scheme val="minor"/>
      </rPr>
      <t>︵</t>
    </r>
    <r>
      <rPr>
        <sz val="11"/>
        <color theme="1"/>
        <rFont val="游ゴシック"/>
        <family val="3"/>
        <charset val="128"/>
        <scheme val="minor"/>
      </rPr>
      <t xml:space="preserve"> ┻━┻</t>
    </r>
  </si>
  <si>
    <t xml:space="preserve">   INSERT投下完了ｗ</t>
  </si>
  <si>
    <t>NSERT文出力ツール（v1.0）</t>
  </si>
  <si>
    <t>目的：</t>
    <phoneticPr fontId="5"/>
  </si>
  <si>
    <r>
      <t xml:space="preserve">各シートに記載されたデータを元に、対応するマスタテーブルへの </t>
    </r>
    <r>
      <rPr>
        <sz val="10"/>
        <color theme="1"/>
        <rFont val="Arial Unicode MS"/>
        <family val="2"/>
      </rPr>
      <t>INSERT</t>
    </r>
    <r>
      <rPr>
        <sz val="11"/>
        <color theme="1"/>
        <rFont val="游ゴシック"/>
        <family val="3"/>
        <charset val="128"/>
        <scheme val="minor"/>
      </rPr>
      <t xml:space="preserve"> 文（SQL）を自動生成するツールです。</t>
    </r>
  </si>
  <si>
    <t xml:space="preserve"> 入力ルール（シートごと）：</t>
    <phoneticPr fontId="5"/>
  </si>
  <si>
    <t>セル位置</t>
  </si>
  <si>
    <t>内容</t>
  </si>
  <si>
    <t>B4セル</t>
  </si>
  <si>
    <r>
      <t>対象テーブルの</t>
    </r>
    <r>
      <rPr>
        <b/>
        <sz val="11"/>
        <color theme="1"/>
        <rFont val="游ゴシック"/>
        <family val="3"/>
        <charset val="128"/>
        <scheme val="minor"/>
      </rPr>
      <t>物理名</t>
    </r>
    <r>
      <rPr>
        <sz val="11"/>
        <color theme="1"/>
        <rFont val="游ゴシック"/>
        <family val="3"/>
        <charset val="128"/>
        <scheme val="minor"/>
      </rPr>
      <t>（例：</t>
    </r>
    <r>
      <rPr>
        <sz val="10"/>
        <color theme="1"/>
        <rFont val="Arial Unicode MS"/>
        <family val="2"/>
      </rPr>
      <t>registration_step</t>
    </r>
    <r>
      <rPr>
        <sz val="11"/>
        <color theme="1"/>
        <rFont val="游ゴシック"/>
        <family val="3"/>
        <charset val="128"/>
        <scheme val="minor"/>
      </rPr>
      <t>）</t>
    </r>
  </si>
  <si>
    <t>7行目</t>
  </si>
  <si>
    <r>
      <t>**項目物理名（カラム名）**を記載（例：</t>
    </r>
    <r>
      <rPr>
        <sz val="10"/>
        <color theme="1"/>
        <rFont val="Arial Unicode MS"/>
        <family val="2"/>
      </rPr>
      <t>created_at</t>
    </r>
    <r>
      <rPr>
        <sz val="11"/>
        <color theme="1"/>
        <rFont val="游ゴシック"/>
        <family val="3"/>
        <charset val="128"/>
        <scheme val="minor"/>
      </rPr>
      <t>）</t>
    </r>
  </si>
  <si>
    <t>8行目以降</t>
  </si>
  <si>
    <r>
      <t>INSERT対象の</t>
    </r>
    <r>
      <rPr>
        <b/>
        <sz val="11"/>
        <color theme="1"/>
        <rFont val="游ゴシック"/>
        <family val="3"/>
        <charset val="128"/>
        <scheme val="minor"/>
      </rPr>
      <t>データ行</t>
    </r>
  </si>
  <si>
    <t>特別な値の扱い：</t>
    <phoneticPr fontId="5"/>
  </si>
  <si>
    <t>入力値</t>
  </si>
  <si>
    <t>出力SQL</t>
  </si>
  <si>
    <t>備考</t>
  </si>
  <si>
    <r>
      <t>NULL</t>
    </r>
    <r>
      <rPr>
        <sz val="11"/>
        <color theme="1"/>
        <rFont val="游ゴシック"/>
        <family val="3"/>
        <charset val="128"/>
        <scheme val="minor"/>
      </rPr>
      <t>（全大文字）</t>
    </r>
  </si>
  <si>
    <r>
      <t>NULL</t>
    </r>
    <r>
      <rPr>
        <sz val="11"/>
        <color theme="1"/>
        <rFont val="游ゴシック"/>
        <family val="3"/>
        <charset val="128"/>
        <scheme val="minor"/>
      </rPr>
      <t>（クォートなし）</t>
    </r>
  </si>
  <si>
    <t>SQLのNULLとして扱われます</t>
  </si>
  <si>
    <t>空白セル</t>
  </si>
  <si>
    <t>NULL</t>
  </si>
  <si>
    <t>自動的にNULLに変換されます（安全のため）</t>
  </si>
  <si>
    <r>
      <t>'</t>
    </r>
    <r>
      <rPr>
        <sz val="11"/>
        <color theme="1"/>
        <rFont val="游ゴシック"/>
        <family val="3"/>
        <charset val="128"/>
        <scheme val="minor"/>
      </rPr>
      <t>（シングルクォート）</t>
    </r>
  </si>
  <si>
    <r>
      <t>'</t>
    </r>
    <r>
      <rPr>
        <sz val="11"/>
        <color theme="1"/>
        <rFont val="游ゴシック"/>
        <family val="3"/>
        <charset val="128"/>
        <scheme val="minor"/>
      </rPr>
      <t xml:space="preserve"> → </t>
    </r>
    <r>
      <rPr>
        <sz val="10"/>
        <color theme="1"/>
        <rFont val="Arial Unicode MS"/>
        <family val="2"/>
      </rPr>
      <t>''</t>
    </r>
    <r>
      <rPr>
        <sz val="11"/>
        <color theme="1"/>
        <rFont val="游ゴシック"/>
        <family val="3"/>
        <charset val="128"/>
        <scheme val="minor"/>
      </rPr>
      <t xml:space="preserve"> に変換</t>
    </r>
  </si>
  <si>
    <t>SQL文法上のエスケープ対応済み</t>
  </si>
  <si>
    <t>操作手順：</t>
    <phoneticPr fontId="5"/>
  </si>
  <si>
    <t>1. 出力対象のデータを記入したシートを用意</t>
  </si>
  <si>
    <t>2. フォームの「SQL出力実行」ボタンを押下</t>
  </si>
  <si>
    <t>3. シートを複数選択して「出力実行」</t>
  </si>
  <si>
    <r>
      <t xml:space="preserve">4. 各シート単位で </t>
    </r>
    <r>
      <rPr>
        <sz val="10"/>
        <color theme="1"/>
        <rFont val="Arial Unicode MS"/>
        <family val="2"/>
      </rPr>
      <t>シート名_insert.sql</t>
    </r>
    <r>
      <rPr>
        <sz val="11"/>
        <color theme="1"/>
        <rFont val="游ゴシック"/>
        <family val="3"/>
        <charset val="128"/>
        <scheme val="minor"/>
      </rPr>
      <t xml:space="preserve"> ファイルが出力されます</t>
    </r>
  </si>
  <si>
    <t>対応テーブル形式の注意点：</t>
    <phoneticPr fontId="5"/>
  </si>
  <si>
    <r>
      <t>timestamp</t>
    </r>
    <r>
      <rPr>
        <sz val="11"/>
        <color theme="1"/>
        <rFont val="游ゴシック"/>
        <family val="3"/>
        <charset val="128"/>
        <scheme val="minor"/>
      </rPr>
      <t xml:space="preserve"> や </t>
    </r>
    <r>
      <rPr>
        <sz val="10"/>
        <color theme="1"/>
        <rFont val="Arial Unicode MS"/>
        <family val="2"/>
      </rPr>
      <t>datetime</t>
    </r>
    <r>
      <rPr>
        <sz val="11"/>
        <color theme="1"/>
        <rFont val="游ゴシック"/>
        <family val="3"/>
        <charset val="128"/>
        <scheme val="minor"/>
      </rPr>
      <t xml:space="preserve"> のカラムには </t>
    </r>
    <r>
      <rPr>
        <b/>
        <sz val="11"/>
        <color theme="1"/>
        <rFont val="游ゴシック"/>
        <family val="3"/>
        <charset val="128"/>
        <scheme val="minor"/>
      </rPr>
      <t>NULL or 正しい日付書式を入力してください</t>
    </r>
  </si>
  <si>
    <r>
      <t>NOT NULL</t>
    </r>
    <r>
      <rPr>
        <sz val="11"/>
        <color theme="1"/>
        <rFont val="游ゴシック"/>
        <family val="3"/>
        <charset val="128"/>
        <scheme val="minor"/>
      </rPr>
      <t xml:space="preserve"> 制約のあるカラムは、空欄にしないように注意してください</t>
    </r>
  </si>
  <si>
    <t>Aurora (MySQL互換) 対応済み</t>
    <phoneticPr fontId="5"/>
  </si>
  <si>
    <t>MySQL準拠のINSERT構文で出力</t>
  </si>
  <si>
    <t>Auroraへの直接インポートにも対応</t>
  </si>
  <si>
    <t>禁止事項：</t>
    <phoneticPr fontId="5"/>
  </si>
  <si>
    <r>
      <t>B4セル</t>
    </r>
    <r>
      <rPr>
        <sz val="11"/>
        <color theme="1"/>
        <rFont val="游ゴシック"/>
        <family val="3"/>
        <charset val="128"/>
        <scheme val="minor"/>
      </rPr>
      <t xml:space="preserve"> が空欄のまま出力実行</t>
    </r>
  </si>
  <si>
    <t>項目物理名が空欄</t>
  </si>
  <si>
    <r>
      <t>シート名をSQLファイル名に使えない文字（例：</t>
    </r>
    <r>
      <rPr>
        <sz val="10"/>
        <color theme="1"/>
        <rFont val="Arial Unicode MS"/>
        <family val="2"/>
      </rPr>
      <t>/ \\ : * ?</t>
    </r>
    <r>
      <rPr>
        <sz val="11"/>
        <color theme="1"/>
        <rFont val="游ゴシック"/>
        <family val="3"/>
        <charset val="128"/>
        <scheme val="minor"/>
      </rPr>
      <t>）にしないこと</t>
    </r>
  </si>
  <si>
    <t>出力先：</t>
    <phoneticPr fontId="5"/>
  </si>
  <si>
    <r>
      <t>このExcelファイルと</t>
    </r>
    <r>
      <rPr>
        <b/>
        <sz val="11"/>
        <color theme="1"/>
        <rFont val="游ゴシック"/>
        <family val="3"/>
        <charset val="128"/>
        <scheme val="minor"/>
      </rPr>
      <t>同じフォルダ</t>
    </r>
    <r>
      <rPr>
        <sz val="11"/>
        <color theme="1"/>
        <rFont val="游ゴシック"/>
        <family val="3"/>
        <charset val="128"/>
        <scheme val="minor"/>
      </rPr>
      <t xml:space="preserve">に </t>
    </r>
    <r>
      <rPr>
        <sz val="10"/>
        <color theme="1"/>
        <rFont val="Arial Unicode MS"/>
        <family val="2"/>
      </rPr>
      <t>.sql</t>
    </r>
    <r>
      <rPr>
        <sz val="11"/>
        <color theme="1"/>
        <rFont val="游ゴシック"/>
        <family val="3"/>
        <charset val="128"/>
        <scheme val="minor"/>
      </rPr>
      <t xml:space="preserve"> ファイルとして保存されます</t>
    </r>
  </si>
  <si>
    <t>登録ステップ</t>
    <rPh sb="0" eb="2">
      <t>トウロク</t>
    </rPh>
    <phoneticPr fontId="5"/>
  </si>
  <si>
    <t>テーブル名</t>
    <rPh sb="4" eb="5">
      <t>メイ</t>
    </rPh>
    <phoneticPr fontId="5"/>
  </si>
  <si>
    <t>registration_step</t>
  </si>
  <si>
    <t>メニュ機能ID</t>
    <phoneticPr fontId="2"/>
  </si>
  <si>
    <t>識別ID</t>
    <phoneticPr fontId="2"/>
  </si>
  <si>
    <t>登録ステータス</t>
    <phoneticPr fontId="2"/>
  </si>
  <si>
    <t>コメント</t>
    <phoneticPr fontId="2"/>
  </si>
  <si>
    <t>削除済フラグ</t>
    <phoneticPr fontId="2"/>
  </si>
  <si>
    <t>承認者ユーザID</t>
    <phoneticPr fontId="2"/>
  </si>
  <si>
    <t>作成者ユーザID</t>
    <phoneticPr fontId="2"/>
  </si>
  <si>
    <t>作成日時</t>
    <phoneticPr fontId="2"/>
  </si>
  <si>
    <t>更新者ユーザID</t>
    <phoneticPr fontId="2"/>
  </si>
  <si>
    <t>更新日時</t>
    <phoneticPr fontId="2"/>
  </si>
  <si>
    <t>menu_function_id</t>
  </si>
  <si>
    <t>identification_id</t>
  </si>
  <si>
    <t>registration_status</t>
  </si>
  <si>
    <t>comment</t>
  </si>
  <si>
    <t>deleted_flag</t>
  </si>
  <si>
    <t>approver_user_id</t>
  </si>
  <si>
    <t>creator_user_id</t>
  </si>
  <si>
    <t>created_date_and_time</t>
  </si>
  <si>
    <t>updater_user_id</t>
  </si>
  <si>
    <t>updated_date_and_time</t>
  </si>
  <si>
    <t>JI-20250620-01</t>
  </si>
  <si>
    <t>リリース時に登録されているデータです</t>
  </si>
  <si>
    <t>sys-a@email.com</t>
  </si>
  <si>
    <t>sys@email.com</t>
    <phoneticPr fontId="5"/>
  </si>
  <si>
    <t>JI-20250620-02</t>
  </si>
  <si>
    <t>JI-20250620-03</t>
  </si>
  <si>
    <t>SI-20250620-0１</t>
    <phoneticPr fontId="5"/>
  </si>
  <si>
    <t>SI-20250620-02</t>
  </si>
  <si>
    <t>SI-20250620-03</t>
  </si>
  <si>
    <t>RI-20250620-0１</t>
    <phoneticPr fontId="5"/>
  </si>
  <si>
    <t>RI-20250620-02</t>
  </si>
  <si>
    <t>RI-20250620-03</t>
  </si>
  <si>
    <t>RI-20250620-04</t>
  </si>
  <si>
    <t>UI-20250620-0１</t>
    <phoneticPr fontId="5"/>
  </si>
  <si>
    <t>UI-20250620-02</t>
  </si>
  <si>
    <t>UI-20250620-03</t>
  </si>
  <si>
    <t>UI-20250620-04</t>
  </si>
  <si>
    <t>UI-20250620-05</t>
  </si>
  <si>
    <t>UI-20250620-06</t>
  </si>
  <si>
    <t>UI-20250620-07</t>
  </si>
  <si>
    <t>UI-20250620-08</t>
  </si>
  <si>
    <t>UI-20250620-09</t>
  </si>
  <si>
    <t>UI-20250620-10</t>
  </si>
  <si>
    <t>UI-20250620-11</t>
  </si>
  <si>
    <t>UI-20250620-12</t>
  </si>
  <si>
    <t>BI-20250620-0１</t>
    <phoneticPr fontId="5"/>
  </si>
  <si>
    <t>TI-20250620-0１</t>
    <phoneticPr fontId="5"/>
  </si>
  <si>
    <t>HK-20250620-01</t>
  </si>
  <si>
    <t>HK-20250620-02</t>
  </si>
  <si>
    <t>HK-20250620-03</t>
  </si>
  <si>
    <t>HK-20250620-04</t>
  </si>
  <si>
    <t>HK-20250620-05</t>
  </si>
  <si>
    <t>HK-20250620-06</t>
  </si>
  <si>
    <t>HK-20250620-07</t>
  </si>
  <si>
    <t>HK-20250620-08</t>
  </si>
  <si>
    <t>HK-20250620-09</t>
  </si>
  <si>
    <t>HK-20250620-10</t>
  </si>
  <si>
    <t>HK-20250620-11</t>
  </si>
  <si>
    <t>HK-20250620-12</t>
  </si>
  <si>
    <t>HK-20250620-13</t>
  </si>
  <si>
    <t>HK-20250620-14</t>
  </si>
  <si>
    <t>HK-20250620-15</t>
  </si>
  <si>
    <t>HK-20250620-16</t>
  </si>
  <si>
    <t>HK-20250620-17</t>
  </si>
  <si>
    <t>HK-20250620-18</t>
  </si>
  <si>
    <t>HK-20250620-19</t>
  </si>
  <si>
    <t>HK-20250620-20</t>
  </si>
  <si>
    <t>HK-20250620-21</t>
  </si>
  <si>
    <t>HK-20250620-22</t>
  </si>
  <si>
    <t>HK-20250620-23</t>
  </si>
  <si>
    <t>HK-20250620-24</t>
  </si>
  <si>
    <t>HK-20250620-25</t>
  </si>
  <si>
    <t>HK-20250620-26</t>
  </si>
  <si>
    <t>HK-20250620-27</t>
  </si>
  <si>
    <t>HK-20250620-28</t>
  </si>
  <si>
    <t>HK-20250620-29</t>
  </si>
  <si>
    <t>HK-20250620-30</t>
  </si>
  <si>
    <t>HK-20250620-31</t>
  </si>
  <si>
    <t>HK-20250620-32</t>
  </si>
  <si>
    <t>HK-20250620-33</t>
  </si>
  <si>
    <t>HK-20250620-34</t>
  </si>
  <si>
    <t>HK-20250620-35</t>
  </si>
  <si>
    <t>HK-20250620-36</t>
  </si>
  <si>
    <t>HK-20250620-37</t>
  </si>
  <si>
    <t>HK-20250620-38</t>
  </si>
  <si>
    <t>HK-20250620-39</t>
  </si>
  <si>
    <t>HK-20250620-40</t>
  </si>
  <si>
    <t>HK-20250620-41</t>
  </si>
  <si>
    <t>HK-20250620-42</t>
  </si>
  <si>
    <t>HK-20250620-43</t>
  </si>
  <si>
    <t>HK-20250620-44</t>
  </si>
  <si>
    <t>HK-20250620-45</t>
  </si>
  <si>
    <t>HK-20250620-46</t>
  </si>
  <si>
    <t>HK-20250620-47</t>
  </si>
  <si>
    <t>HK-20250620-48</t>
  </si>
  <si>
    <t>HK-20250620-49</t>
  </si>
  <si>
    <t>HK-20250620-50</t>
  </si>
  <si>
    <t>HK-20250620-51</t>
  </si>
  <si>
    <t>HK-20250620-52</t>
  </si>
  <si>
    <t>HK-20250620-53</t>
  </si>
  <si>
    <t>HK-20250620-54</t>
  </si>
  <si>
    <t>HK-20250620-55</t>
  </si>
  <si>
    <t>HK-20250620-56</t>
  </si>
  <si>
    <t>HK-20250620-57</t>
  </si>
  <si>
    <t>HK-20250620-58</t>
  </si>
  <si>
    <t>HK-20250620-59</t>
  </si>
  <si>
    <t>PK-20250620-01</t>
    <phoneticPr fontId="5"/>
  </si>
  <si>
    <t>HI-20250620-01</t>
  </si>
  <si>
    <t>拠点区分</t>
    <rPh sb="0" eb="2">
      <t>キョテン</t>
    </rPh>
    <rPh sb="2" eb="4">
      <t>クブン</t>
    </rPh>
    <phoneticPr fontId="5"/>
  </si>
  <si>
    <t>本社</t>
  </si>
  <si>
    <t>拠点マスタ</t>
    <phoneticPr fontId="5"/>
  </si>
  <si>
    <t>master_base</t>
  </si>
  <si>
    <t>事業所</t>
  </si>
  <si>
    <t>データ作成の注意点</t>
    <rPh sb="3" eb="5">
      <t>サクセイ</t>
    </rPh>
    <rPh sb="6" eb="9">
      <t>チュウイテン</t>
    </rPh>
    <phoneticPr fontId="5"/>
  </si>
  <si>
    <t>営業所</t>
  </si>
  <si>
    <t>id</t>
  </si>
  <si>
    <t>拠点CD</t>
  </si>
  <si>
    <t>拠点名</t>
  </si>
  <si>
    <t>略称名</t>
  </si>
  <si>
    <t>拠点区分</t>
  </si>
  <si>
    <t>郵便番号</t>
  </si>
  <si>
    <t>住所</t>
  </si>
  <si>
    <t>電話番号</t>
  </si>
  <si>
    <t>FAX番号</t>
  </si>
  <si>
    <t>削除済フラグ</t>
  </si>
  <si>
    <t>削除理由</t>
  </si>
  <si>
    <t>作成者ユーザID</t>
  </si>
  <si>
    <t>作成日時</t>
  </si>
  <si>
    <t>更新者ユーザID</t>
  </si>
  <si>
    <t>更新日時</t>
  </si>
  <si>
    <t>base_cd</t>
  </si>
  <si>
    <t>base_name</t>
  </si>
  <si>
    <t>abbreviation_name</t>
  </si>
  <si>
    <t>base_category</t>
  </si>
  <si>
    <t>postal_cd</t>
  </si>
  <si>
    <t>address</t>
  </si>
  <si>
    <t>telephone_number</t>
  </si>
  <si>
    <t>fax_number</t>
  </si>
  <si>
    <t>reason_for_deletion</t>
  </si>
  <si>
    <t>JI-20250620-01</t>
    <phoneticPr fontId="5"/>
  </si>
  <si>
    <t>本社略称</t>
  </si>
  <si>
    <t>東京都テスト区</t>
  </si>
  <si>
    <t>sys-b@email.com</t>
  </si>
  <si>
    <t>JI-20250620-02</t>
    <phoneticPr fontId="5"/>
  </si>
  <si>
    <t>テスト事業所</t>
  </si>
  <si>
    <t>テスト事業所略称</t>
  </si>
  <si>
    <t>茨城県テスト市</t>
  </si>
  <si>
    <t>テスト営業所</t>
  </si>
  <si>
    <t>テスト営業所略称</t>
  </si>
  <si>
    <t>組織マスタ</t>
    <rPh sb="0" eb="2">
      <t>ソシキ</t>
    </rPh>
    <phoneticPr fontId="5"/>
  </si>
  <si>
    <t>①idに設定する値と同じ値で「登録ステップ」シートにメニュー機能ID「２：組織」、ステータス「５：承認済」でレコードを追加してください</t>
    <rPh sb="4" eb="6">
      <t>セッテイ</t>
    </rPh>
    <rPh sb="8" eb="9">
      <t>アタイ</t>
    </rPh>
    <rPh sb="10" eb="11">
      <t>オナ</t>
    </rPh>
    <rPh sb="12" eb="13">
      <t>アタイ</t>
    </rPh>
    <rPh sb="15" eb="17">
      <t>トウロク</t>
    </rPh>
    <rPh sb="30" eb="32">
      <t>キノウ</t>
    </rPh>
    <rPh sb="37" eb="39">
      <t>ソシキ</t>
    </rPh>
    <rPh sb="49" eb="52">
      <t>ショウニンスミ</t>
    </rPh>
    <rPh sb="59" eb="61">
      <t>ツイカ</t>
    </rPh>
    <phoneticPr fontId="5"/>
  </si>
  <si>
    <t>②組織IDは１から採番してください</t>
    <rPh sb="1" eb="3">
      <t>ソシキ</t>
    </rPh>
    <rPh sb="9" eb="11">
      <t>サイバン</t>
    </rPh>
    <phoneticPr fontId="5"/>
  </si>
  <si>
    <t>組織ID</t>
  </si>
  <si>
    <t>組織名</t>
  </si>
  <si>
    <t>SI-20250620-01</t>
    <phoneticPr fontId="5"/>
  </si>
  <si>
    <t>本社組織</t>
  </si>
  <si>
    <t>事業所組織</t>
  </si>
  <si>
    <t>営業所組織</t>
  </si>
  <si>
    <t>ロールマスタ</t>
    <phoneticPr fontId="5"/>
  </si>
  <si>
    <t>①idに設定する値と同じ値で「登録ステップ」シートにメニュー機能ID「１０：ロール」、ステータス「５：承認済」でレコードを追加してください</t>
    <rPh sb="4" eb="6">
      <t>セッテイ</t>
    </rPh>
    <rPh sb="8" eb="9">
      <t>アタイ</t>
    </rPh>
    <rPh sb="10" eb="11">
      <t>オナ</t>
    </rPh>
    <rPh sb="12" eb="13">
      <t>アタイ</t>
    </rPh>
    <rPh sb="15" eb="17">
      <t>トウロク</t>
    </rPh>
    <rPh sb="30" eb="32">
      <t>キノウ</t>
    </rPh>
    <rPh sb="51" eb="54">
      <t>ショウニンスミ</t>
    </rPh>
    <rPh sb="61" eb="63">
      <t>ツイカ</t>
    </rPh>
    <phoneticPr fontId="5"/>
  </si>
  <si>
    <t>②ユニークIDは１から採番してください</t>
    <rPh sb="11" eb="13">
      <t>サイバン</t>
    </rPh>
    <phoneticPr fontId="5"/>
  </si>
  <si>
    <t>ユニークID</t>
  </si>
  <si>
    <t>ロール名</t>
  </si>
  <si>
    <t>RI-20250620-01</t>
    <phoneticPr fontId="5"/>
  </si>
  <si>
    <t>全権承認</t>
  </si>
  <si>
    <t>全権更新</t>
  </si>
  <si>
    <t>全権参照</t>
  </si>
  <si>
    <t>全権なし</t>
  </si>
  <si>
    <t>ロールID</t>
  </si>
  <si>
    <t>ロールユニークID</t>
  </si>
  <si>
    <t>メニュ機能ID</t>
  </si>
  <si>
    <t>権限区分</t>
  </si>
  <si>
    <t>RI-20250620-01</t>
  </si>
  <si>
    <t>職位区分</t>
    <rPh sb="0" eb="2">
      <t>ショクイ</t>
    </rPh>
    <rPh sb="2" eb="4">
      <t>クブン</t>
    </rPh>
    <phoneticPr fontId="5"/>
  </si>
  <si>
    <t>責任者</t>
  </si>
  <si>
    <t>ユーザマスタ</t>
    <phoneticPr fontId="5"/>
  </si>
  <si>
    <t>課長</t>
  </si>
  <si>
    <t>①idに設定する値と同じ値で「登録ステップ」シートにメニュー機能ID「１１：ユーザ」、ステータス「５：承認済」でレコードを追加してください</t>
    <rPh sb="4" eb="6">
      <t>セッテイ</t>
    </rPh>
    <rPh sb="8" eb="9">
      <t>アタイ</t>
    </rPh>
    <rPh sb="10" eb="11">
      <t>オナ</t>
    </rPh>
    <rPh sb="12" eb="13">
      <t>アタイ</t>
    </rPh>
    <rPh sb="15" eb="17">
      <t>トウロク</t>
    </rPh>
    <rPh sb="30" eb="32">
      <t>キノウ</t>
    </rPh>
    <rPh sb="51" eb="54">
      <t>ショウニンスミ</t>
    </rPh>
    <rPh sb="61" eb="63">
      <t>ツイカ</t>
    </rPh>
    <phoneticPr fontId="5"/>
  </si>
  <si>
    <t>②ユーザIDはメールアドレスを設定してください</t>
    <rPh sb="15" eb="17">
      <t>セッテイ</t>
    </rPh>
    <phoneticPr fontId="5"/>
  </si>
  <si>
    <t>ユーザID</t>
  </si>
  <si>
    <t>氏名</t>
  </si>
  <si>
    <t>職位区分</t>
  </si>
  <si>
    <t>電話番号1</t>
  </si>
  <si>
    <t>電話番号2</t>
  </si>
  <si>
    <t>パスワード</t>
  </si>
  <si>
    <t>パスワード設定日</t>
  </si>
  <si>
    <t>UI-20250620-01</t>
    <phoneticPr fontId="5"/>
  </si>
  <si>
    <t>本社全権承認　ユーザ</t>
  </si>
  <si>
    <t>pass1234</t>
    <phoneticPr fontId="5"/>
  </si>
  <si>
    <t>=' INSERT INTO MASTER_BASE ' &amp; P11</t>
  </si>
  <si>
    <t>本社全権更新　ユーザ</t>
  </si>
  <si>
    <t>sys-c@email.com</t>
  </si>
  <si>
    <t>本社全権参照　ユーザ</t>
  </si>
  <si>
    <t>sys-d@email.com</t>
  </si>
  <si>
    <t>本社全権なし　ユーザ</t>
  </si>
  <si>
    <t>sys-e@email.com</t>
  </si>
  <si>
    <t>事業所全権承認　ユーザ</t>
  </si>
  <si>
    <t>sys-f@email.com</t>
  </si>
  <si>
    <t>事業所全権更新　ユーザ</t>
  </si>
  <si>
    <t>sys-g@email.com</t>
  </si>
  <si>
    <t>事業所全権参照　ユーザ</t>
  </si>
  <si>
    <t>sys-h@email.com</t>
  </si>
  <si>
    <t>事業所全権なし　ユーザ</t>
  </si>
  <si>
    <t>sys-i@email.com</t>
  </si>
  <si>
    <t>営業所全権承認　ユーザ</t>
  </si>
  <si>
    <t>sys-j@email.com</t>
  </si>
  <si>
    <t>営業所全権更新　ユーザ</t>
  </si>
  <si>
    <t>sys-k@email.com</t>
  </si>
  <si>
    <t>営業所全権参照　ユーザ</t>
  </si>
  <si>
    <t>sys-l@email.com</t>
  </si>
  <si>
    <t>営業所全権なし　ユーザ</t>
  </si>
  <si>
    <t>会社名</t>
  </si>
  <si>
    <t>パスワード期限日数</t>
  </si>
  <si>
    <t>パスワード再発行URL有効期限</t>
  </si>
  <si>
    <t>作成者ユーザーID</t>
    <phoneticPr fontId="2"/>
  </si>
  <si>
    <t>更新者ユーザーID</t>
    <phoneticPr fontId="2"/>
  </si>
  <si>
    <t>CRJ</t>
    <phoneticPr fontId="5"/>
  </si>
  <si>
    <t>事業管理設定</t>
    <rPh sb="0" eb="4">
      <t>ジギョウカンリ</t>
    </rPh>
    <rPh sb="4" eb="6">
      <t>セッテイ</t>
    </rPh>
    <phoneticPr fontId="5"/>
  </si>
  <si>
    <t>①idは設定しないで大丈夫です</t>
    <rPh sb="4" eb="6">
      <t>セッテイ</t>
    </rPh>
    <rPh sb="10" eb="13">
      <t>ダイジョウブ</t>
    </rPh>
    <phoneticPr fontId="5"/>
  </si>
  <si>
    <t>第1勤開始時間</t>
  </si>
  <si>
    <t>第2勤開始時間</t>
  </si>
  <si>
    <t>第3勤開始時間</t>
  </si>
  <si>
    <t>原料投入最低数</t>
  </si>
  <si>
    <t>原料投入最大数</t>
  </si>
  <si>
    <t>置場変更開始時間</t>
  </si>
  <si>
    <t>置場変更終了時間</t>
  </si>
  <si>
    <t>お知らせ表示件数</t>
  </si>
  <si>
    <t>受信表示件数</t>
  </si>
  <si>
    <t>送信表示件数</t>
  </si>
  <si>
    <t>ジョブ完了表示件数</t>
  </si>
  <si>
    <t>営業開始時間</t>
  </si>
  <si>
    <t>営業終了時間</t>
  </si>
  <si>
    <t>代表性状（塩素）</t>
  </si>
  <si>
    <t>代表性状（酸素）</t>
  </si>
  <si>
    <t>代表性状（窒素）</t>
  </si>
  <si>
    <t>代表性状（ケイ素）</t>
  </si>
  <si>
    <t>入構証注意事項（日本語）</t>
  </si>
  <si>
    <t>入構証注意事項（その他言語）</t>
  </si>
  <si>
    <t>テスト塩素</t>
  </si>
  <si>
    <t>テスト酸素</t>
  </si>
  <si>
    <t>テスト窒素</t>
  </si>
  <si>
    <t>テストケイ素</t>
  </si>
  <si>
    <t>日本語注意事項</t>
  </si>
  <si>
    <t>英語注意事項</t>
  </si>
  <si>
    <t>部門マスタ</t>
    <rPh sb="0" eb="2">
      <t>ブモン</t>
    </rPh>
    <phoneticPr fontId="5"/>
  </si>
  <si>
    <t>①idに設定する値と同じ値で「登録ステップ」シートにメニュー機能ID「３：部門」、ステータス「５：承認済」でレコードを追加してください</t>
    <rPh sb="4" eb="6">
      <t>セッテイ</t>
    </rPh>
    <rPh sb="8" eb="9">
      <t>アタイ</t>
    </rPh>
    <rPh sb="10" eb="11">
      <t>オナ</t>
    </rPh>
    <rPh sb="12" eb="13">
      <t>アタイ</t>
    </rPh>
    <rPh sb="15" eb="17">
      <t>トウロク</t>
    </rPh>
    <rPh sb="30" eb="32">
      <t>キノウ</t>
    </rPh>
    <rPh sb="37" eb="39">
      <t>ブモン</t>
    </rPh>
    <rPh sb="49" eb="52">
      <t>ショウニンスミ</t>
    </rPh>
    <rPh sb="59" eb="61">
      <t>ツイカ</t>
    </rPh>
    <phoneticPr fontId="5"/>
  </si>
  <si>
    <t>②工程区分CDは固定マスタを参照ください</t>
    <rPh sb="1" eb="5">
      <t>コウテイクブン</t>
    </rPh>
    <rPh sb="8" eb="10">
      <t>コテイ</t>
    </rPh>
    <rPh sb="14" eb="16">
      <t>サンショウ</t>
    </rPh>
    <phoneticPr fontId="5"/>
  </si>
  <si>
    <t>部門CD</t>
  </si>
  <si>
    <t>部門名</t>
  </si>
  <si>
    <t>工程区分CD</t>
  </si>
  <si>
    <t>貯蔵品マスタ外計上先</t>
  </si>
  <si>
    <t>OBC事業所代表フラグ</t>
  </si>
  <si>
    <t>勘定仕訳工程代表フラグ</t>
  </si>
  <si>
    <t>計上費目</t>
  </si>
  <si>
    <t>BI-20250620-01</t>
    <phoneticPr fontId="5"/>
  </si>
  <si>
    <t>XXX</t>
    <phoneticPr fontId="5"/>
  </si>
  <si>
    <t>テスト部門工程０</t>
    <rPh sb="3" eb="5">
      <t>ブモン</t>
    </rPh>
    <rPh sb="5" eb="7">
      <t>コウテイ</t>
    </rPh>
    <phoneticPr fontId="5"/>
  </si>
  <si>
    <t>取引先マスタ</t>
    <rPh sb="0" eb="3">
      <t>トリヒキサキ</t>
    </rPh>
    <phoneticPr fontId="5"/>
  </si>
  <si>
    <t>①idに設定する値と同じ値で「登録ステップ」シートにメニュー機能ID「４：取引先」、ステータス「５：承認済」でレコードを追加してください</t>
    <rPh sb="4" eb="6">
      <t>セッテイ</t>
    </rPh>
    <rPh sb="8" eb="9">
      <t>アタイ</t>
    </rPh>
    <rPh sb="10" eb="11">
      <t>オナ</t>
    </rPh>
    <rPh sb="12" eb="13">
      <t>アタイ</t>
    </rPh>
    <rPh sb="15" eb="17">
      <t>トウロク</t>
    </rPh>
    <rPh sb="30" eb="32">
      <t>キノウ</t>
    </rPh>
    <rPh sb="37" eb="40">
      <t>トリヒキサキ</t>
    </rPh>
    <rPh sb="50" eb="53">
      <t>ショウニンスミ</t>
    </rPh>
    <rPh sb="60" eb="62">
      <t>ツイカ</t>
    </rPh>
    <phoneticPr fontId="5"/>
  </si>
  <si>
    <t>取引先CD</t>
  </si>
  <si>
    <t>適用開始日</t>
  </si>
  <si>
    <t>フリガナ</t>
  </si>
  <si>
    <t>取引先名</t>
  </si>
  <si>
    <t>取引先識別子</t>
  </si>
  <si>
    <t>得意先フラグ</t>
  </si>
  <si>
    <t>仕入先フラグ</t>
  </si>
  <si>
    <t>運送会社フラグ</t>
  </si>
  <si>
    <t>排出事業者フラグ</t>
  </si>
  <si>
    <t>処理業者フラグ</t>
  </si>
  <si>
    <t>収集運搬業者フラグ</t>
  </si>
  <si>
    <t>その他フラグ</t>
  </si>
  <si>
    <t>産廃契約期間終了日</t>
  </si>
  <si>
    <t>TI-20250620-01</t>
    <phoneticPr fontId="5"/>
  </si>
  <si>
    <t>テスト取引先</t>
    <rPh sb="3" eb="6">
      <t>トリヒキサキ</t>
    </rPh>
    <phoneticPr fontId="5"/>
  </si>
  <si>
    <t>ABC</t>
    <phoneticPr fontId="5"/>
  </si>
  <si>
    <t>取引先関連拠点マスタ</t>
    <rPh sb="0" eb="3">
      <t>トリヒキサキ</t>
    </rPh>
    <rPh sb="3" eb="5">
      <t>カンレン</t>
    </rPh>
    <rPh sb="5" eb="7">
      <t>キョテン</t>
    </rPh>
    <phoneticPr fontId="5"/>
  </si>
  <si>
    <t>②取引先IDに取引先マスタの「id」を設定してください</t>
    <rPh sb="1" eb="4">
      <t>トリヒキサキ</t>
    </rPh>
    <rPh sb="7" eb="10">
      <t>トリヒキサキ</t>
    </rPh>
    <rPh sb="19" eb="21">
      <t>セッテイ</t>
    </rPh>
    <phoneticPr fontId="5"/>
  </si>
  <si>
    <t>取引先ID</t>
  </si>
  <si>
    <t>品目区分マスタ</t>
  </si>
  <si>
    <t>①idに設定する値と同じ値で「登録ステップ」シートにメニュー機能ID「5：品目区分」、ステータス「５：承認済」でレコードを追加してください</t>
    <rPh sb="4" eb="6">
      <t>セッテイ</t>
    </rPh>
    <rPh sb="8" eb="9">
      <t>アタイ</t>
    </rPh>
    <rPh sb="10" eb="11">
      <t>オナ</t>
    </rPh>
    <rPh sb="12" eb="13">
      <t>アタイ</t>
    </rPh>
    <rPh sb="15" eb="17">
      <t>トウロク</t>
    </rPh>
    <rPh sb="30" eb="32">
      <t>キノウ</t>
    </rPh>
    <rPh sb="37" eb="41">
      <t>ヒンモククブン</t>
    </rPh>
    <rPh sb="51" eb="54">
      <t>ショウニンスミ</t>
    </rPh>
    <rPh sb="61" eb="63">
      <t>ツイカ</t>
    </rPh>
    <phoneticPr fontId="5"/>
  </si>
  <si>
    <t>id</t>
    <phoneticPr fontId="2"/>
  </si>
  <si>
    <t>品目区分CD</t>
    <phoneticPr fontId="2"/>
  </si>
  <si>
    <t>品目区分</t>
    <phoneticPr fontId="2"/>
  </si>
  <si>
    <t>品目区分名</t>
    <phoneticPr fontId="2"/>
  </si>
  <si>
    <t>大区分CD</t>
    <phoneticPr fontId="2"/>
  </si>
  <si>
    <t>中区分CD</t>
    <phoneticPr fontId="2"/>
  </si>
  <si>
    <t>小区分CD</t>
    <phoneticPr fontId="2"/>
  </si>
  <si>
    <t>細区分CD</t>
  </si>
  <si>
    <t>修正不可フラグ</t>
  </si>
  <si>
    <t>HK-20250620-01</t>
    <phoneticPr fontId="5"/>
  </si>
  <si>
    <t>原料</t>
  </si>
  <si>
    <t>01</t>
  </si>
  <si>
    <t>00</t>
  </si>
  <si>
    <t>HK-20250620-02</t>
    <phoneticPr fontId="5"/>
  </si>
  <si>
    <t>貯蔵品</t>
  </si>
  <si>
    <t>02</t>
  </si>
  <si>
    <t>仕掛品</t>
  </si>
  <si>
    <t>03</t>
  </si>
  <si>
    <t>半製品</t>
  </si>
  <si>
    <t>04</t>
  </si>
  <si>
    <t>製品、商品</t>
  </si>
  <si>
    <t>05</t>
  </si>
  <si>
    <t>その他</t>
  </si>
  <si>
    <t>99</t>
  </si>
  <si>
    <t>無価プラ原料（処分品）</t>
  </si>
  <si>
    <t>有価プラ原料（購買品）</t>
  </si>
  <si>
    <t>触媒</t>
  </si>
  <si>
    <t>薬品</t>
  </si>
  <si>
    <t>物流資材</t>
  </si>
  <si>
    <t>前処理仕掛品</t>
  </si>
  <si>
    <t>油化処理仕掛品</t>
  </si>
  <si>
    <t>検査前CR油</t>
  </si>
  <si>
    <t>CR油</t>
  </si>
  <si>
    <t>PET（破砕プラ製品）</t>
  </si>
  <si>
    <t>廃棄物</t>
  </si>
  <si>
    <t>用役</t>
  </si>
  <si>
    <t>役務／サービス</t>
  </si>
  <si>
    <t>産業廃棄物プラ</t>
  </si>
  <si>
    <t>一般廃棄物プラ</t>
  </si>
  <si>
    <t>フィルム・バンド</t>
  </si>
  <si>
    <t>農ポリ</t>
  </si>
  <si>
    <t>フレコンバッグ</t>
  </si>
  <si>
    <t>硬質容器</t>
  </si>
  <si>
    <t>飲料キャップ</t>
  </si>
  <si>
    <t>トヨタ梱包材</t>
  </si>
  <si>
    <t>06</t>
  </si>
  <si>
    <t>FC廃触媒</t>
  </si>
  <si>
    <t>消石灰</t>
  </si>
  <si>
    <t>苛性ソーダ</t>
  </si>
  <si>
    <t>フレコン</t>
  </si>
  <si>
    <t>パレット</t>
  </si>
  <si>
    <t>PPバンド</t>
  </si>
  <si>
    <t>ストレッチフィルム</t>
  </si>
  <si>
    <t>工程内仕掛品</t>
  </si>
  <si>
    <t>工程間仕掛品</t>
  </si>
  <si>
    <t>配管内在庫品</t>
  </si>
  <si>
    <t>タンク内在庫品</t>
  </si>
  <si>
    <t>可燃産廃</t>
  </si>
  <si>
    <t>不燃産廃</t>
  </si>
  <si>
    <t>ロス</t>
  </si>
  <si>
    <t>オフガス</t>
  </si>
  <si>
    <t>排水</t>
  </si>
  <si>
    <t>電力</t>
  </si>
  <si>
    <t>工業用水</t>
  </si>
  <si>
    <t>飲料水</t>
  </si>
  <si>
    <t>燃料ガス</t>
  </si>
  <si>
    <t>プラ形態タイプマスタ</t>
    <rPh sb="2" eb="4">
      <t>ケイタイ</t>
    </rPh>
    <phoneticPr fontId="5"/>
  </si>
  <si>
    <t>①idに設定する値と同じ値で「登録ステップ」シートにメニュー機能ID「２４：プラ形態タイプ」、ステータス「５：承認済」でレコードを追加してください</t>
    <rPh sb="4" eb="6">
      <t>セッテイ</t>
    </rPh>
    <rPh sb="8" eb="9">
      <t>アタイ</t>
    </rPh>
    <rPh sb="10" eb="11">
      <t>オナ</t>
    </rPh>
    <rPh sb="12" eb="13">
      <t>アタイ</t>
    </rPh>
    <rPh sb="15" eb="17">
      <t>トウロク</t>
    </rPh>
    <rPh sb="30" eb="32">
      <t>キノウ</t>
    </rPh>
    <rPh sb="40" eb="42">
      <t>ケイタイ</t>
    </rPh>
    <rPh sb="55" eb="58">
      <t>ショウニンスミ</t>
    </rPh>
    <rPh sb="65" eb="67">
      <t>ツイカ</t>
    </rPh>
    <phoneticPr fontId="5"/>
  </si>
  <si>
    <t>②プラ形態タイプIDは１から採番してください</t>
    <rPh sb="3" eb="5">
      <t>ケイタイ</t>
    </rPh>
    <rPh sb="14" eb="16">
      <t>サイバン</t>
    </rPh>
    <phoneticPr fontId="5"/>
  </si>
  <si>
    <t>プラ形態タイプID</t>
  </si>
  <si>
    <t>プラ形態タイプ名</t>
  </si>
  <si>
    <t>酸素割合</t>
  </si>
  <si>
    <t>ケイ素割合</t>
  </si>
  <si>
    <t>塩素割合</t>
  </si>
  <si>
    <t>窒素割合</t>
  </si>
  <si>
    <t>タイプA</t>
    <phoneticPr fontId="5"/>
  </si>
  <si>
    <t>①idに設定する値と同じ値で「登録ステップ」シートにメニュー機能ID「６：品目」、ステータス「５：承認済」でレコードを追加してください</t>
    <rPh sb="4" eb="6">
      <t>セッテイ</t>
    </rPh>
    <rPh sb="8" eb="9">
      <t>アタイ</t>
    </rPh>
    <rPh sb="10" eb="11">
      <t>オナ</t>
    </rPh>
    <rPh sb="12" eb="13">
      <t>アタイ</t>
    </rPh>
    <rPh sb="15" eb="17">
      <t>トウロク</t>
    </rPh>
    <rPh sb="30" eb="32">
      <t>キノウ</t>
    </rPh>
    <rPh sb="37" eb="39">
      <t>ヒンモク</t>
    </rPh>
    <rPh sb="49" eb="52">
      <t>ショウニンスミ</t>
    </rPh>
    <rPh sb="59" eb="61">
      <t>ツイカ</t>
    </rPh>
    <phoneticPr fontId="5"/>
  </si>
  <si>
    <t>②在庫換算先単位は必ず「１：KG」にしてください</t>
    <rPh sb="1" eb="6">
      <t>ザイコカンサンサキ</t>
    </rPh>
    <rPh sb="6" eb="8">
      <t>タンイ</t>
    </rPh>
    <rPh sb="9" eb="10">
      <t>カナラ</t>
    </rPh>
    <phoneticPr fontId="5"/>
  </si>
  <si>
    <t>品目CD</t>
  </si>
  <si>
    <t>品目名</t>
  </si>
  <si>
    <t>取引用品目名</t>
  </si>
  <si>
    <t>品目区分CD</t>
  </si>
  <si>
    <t>請求・売上先CD</t>
  </si>
  <si>
    <t>説明</t>
  </si>
  <si>
    <t>在庫管理対象フラグ</t>
  </si>
  <si>
    <t>入出庫時計量必須フラグ</t>
  </si>
  <si>
    <t>マニフェスト番号入力フラグ</t>
  </si>
  <si>
    <t>貯蔵品配賦率設定フラグ</t>
  </si>
  <si>
    <t>在庫単位</t>
  </si>
  <si>
    <t>在庫換算先単位</t>
  </si>
  <si>
    <t>在庫単位換算率</t>
  </si>
  <si>
    <t>入出庫単位</t>
  </si>
  <si>
    <t>在庫評価単価</t>
  </si>
  <si>
    <t>HI-20250620-01</t>
    <phoneticPr fontId="5"/>
  </si>
  <si>
    <t>XX</t>
    <phoneticPr fontId="5"/>
  </si>
  <si>
    <t>品目テスト</t>
    <rPh sb="0" eb="2">
      <t>ヒンモク</t>
    </rPh>
    <phoneticPr fontId="5"/>
  </si>
  <si>
    <t>01010100</t>
  </si>
  <si>
    <t>②品目IDに品目マスタの「id」を設定してください</t>
    <rPh sb="1" eb="3">
      <t>ヒンモク</t>
    </rPh>
    <rPh sb="6" eb="8">
      <t>ヒンモク</t>
    </rPh>
    <rPh sb="17" eb="19">
      <t>セッテイ</t>
    </rPh>
    <phoneticPr fontId="5"/>
  </si>
  <si>
    <t>品目ID</t>
  </si>
  <si>
    <t>ロケーションマスタ</t>
  </si>
  <si>
    <t>※仮の値を設定しています</t>
    <rPh sb="1" eb="2">
      <t>カリ</t>
    </rPh>
    <rPh sb="3" eb="4">
      <t>アタイ</t>
    </rPh>
    <rPh sb="5" eb="7">
      <t>セッテイ</t>
    </rPh>
    <phoneticPr fontId="5"/>
  </si>
  <si>
    <t>ロケーションCD</t>
  </si>
  <si>
    <t>ロケーション区分</t>
  </si>
  <si>
    <t>ロケーション名</t>
  </si>
  <si>
    <t>倉庫CD</t>
  </si>
  <si>
    <t>保管場所CD</t>
  </si>
  <si>
    <t>置場CD</t>
  </si>
  <si>
    <t>キャパ数量</t>
  </si>
  <si>
    <t>単位</t>
  </si>
  <si>
    <t>利用停止中フラグ</t>
  </si>
  <si>
    <t>仮置場フラグ</t>
  </si>
  <si>
    <t>MAP管理対象フラグ</t>
  </si>
  <si>
    <t>MAP割当開始セル</t>
  </si>
  <si>
    <t>MAP割当終了セル</t>
  </si>
  <si>
    <t>入出庫区分</t>
  </si>
  <si>
    <t>削除理由</t>
    <rPh sb="2" eb="4">
      <t>リユウ</t>
    </rPh>
    <phoneticPr fontId="2"/>
  </si>
  <si>
    <t>市原事業所倉庫（仮）</t>
    <rPh sb="8" eb="9">
      <t>カリ</t>
    </rPh>
    <phoneticPr fontId="5"/>
  </si>
  <si>
    <t>000</t>
    <phoneticPr fontId="5"/>
  </si>
  <si>
    <t>A1</t>
    <phoneticPr fontId="5"/>
  </si>
  <si>
    <t>A8</t>
    <phoneticPr fontId="5"/>
  </si>
  <si>
    <t>廃プラ保管場所（仮）</t>
  </si>
  <si>
    <t>01</t>
    <phoneticPr fontId="5"/>
  </si>
  <si>
    <t>A-1</t>
  </si>
  <si>
    <t>001</t>
    <phoneticPr fontId="5"/>
  </si>
  <si>
    <t>A-2</t>
  </si>
  <si>
    <t>002</t>
    <phoneticPr fontId="5"/>
  </si>
  <si>
    <t>A-3</t>
  </si>
  <si>
    <t>003</t>
    <phoneticPr fontId="5"/>
  </si>
  <si>
    <t>通路１</t>
  </si>
  <si>
    <t>098</t>
    <phoneticPr fontId="5"/>
  </si>
  <si>
    <t>通路2</t>
  </si>
  <si>
    <t>099</t>
    <phoneticPr fontId="5"/>
  </si>
  <si>
    <t>資材保管場所（仮）</t>
  </si>
  <si>
    <t>副産物保管場所（仮）</t>
  </si>
  <si>
    <t>廃棄物A置場</t>
  </si>
  <si>
    <t>001</t>
  </si>
  <si>
    <t>廃棄物B置場</t>
  </si>
  <si>
    <t>002</t>
  </si>
  <si>
    <t>有価物A置場</t>
  </si>
  <si>
    <t>003</t>
  </si>
  <si>
    <t>製品保管場所（仮）</t>
  </si>
  <si>
    <t>C-1</t>
  </si>
  <si>
    <t>C-2</t>
  </si>
  <si>
    <t>廃プラ仮保管場所</t>
    <phoneticPr fontId="5"/>
  </si>
  <si>
    <t>96</t>
    <phoneticPr fontId="5"/>
  </si>
  <si>
    <t>000</t>
  </si>
  <si>
    <t>資材仮保管場所</t>
    <phoneticPr fontId="5"/>
  </si>
  <si>
    <t>97</t>
    <phoneticPr fontId="5"/>
  </si>
  <si>
    <t>副産物仮保管場所</t>
    <phoneticPr fontId="5"/>
  </si>
  <si>
    <t>98</t>
    <phoneticPr fontId="5"/>
  </si>
  <si>
    <t>製品仮保管場所</t>
    <phoneticPr fontId="5"/>
  </si>
  <si>
    <t>99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</si>
</sst>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3"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1"/>
      <color indexed="9"/>
      <name val="メイリオ"/>
      <family val="3"/>
      <charset val="128"/>
    </font>
    <font>
      <sz val="11"/>
      <color indexed="9"/>
      <name val="メイリオ"/>
      <family val="3"/>
      <charset val="128"/>
    </font>
    <font>
      <sz val="11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 tint="0.34998626667073579"/>
      <name val="BIZ UDPゴシック"/>
      <family val="3"/>
      <charset val="128"/>
    </font>
    <font>
      <sz val="14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rgb="FF595959"/>
      <name val="BIZ UDPゴシック"/>
      <family val="3"/>
      <charset val="128"/>
    </font>
    <font>
      <sz val="11"/>
      <color theme="1"/>
      <name val="游ゴシック"/>
      <family val="3"/>
      <charset val="129"/>
      <scheme val="minor"/>
    </font>
    <font>
      <sz val="2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4B2A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thin">
        <color indexed="30"/>
      </left>
      <right style="thin">
        <color indexed="30"/>
      </right>
      <top style="medium">
        <color indexed="30"/>
      </top>
      <bottom style="thin">
        <color indexed="30"/>
      </bottom>
      <diagonal/>
    </border>
    <border>
      <left style="thin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30"/>
      </left>
      <right style="thin">
        <color indexed="30"/>
      </right>
      <top style="medium">
        <color indexed="30"/>
      </top>
      <bottom style="thin">
        <color indexed="3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double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30"/>
      </left>
      <right style="thin">
        <color indexed="30"/>
      </right>
      <top style="thin">
        <color indexed="30"/>
      </top>
      <bottom style="medium">
        <color indexed="30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medium">
        <color indexed="30"/>
      </bottom>
      <diagonal/>
    </border>
    <border>
      <left style="thin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74">
    <xf numFmtId="0" fontId="0" fillId="0" borderId="0" xfId="0">
      <alignment vertical="center"/>
    </xf>
    <xf numFmtId="0" fontId="8" fillId="0" borderId="0" xfId="1" applyFont="1">
      <alignment vertical="center"/>
    </xf>
    <xf numFmtId="0" fontId="10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9" fillId="0" borderId="0" xfId="0" applyFont="1">
      <alignment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76" fontId="9" fillId="0" borderId="3" xfId="0" applyNumberFormat="1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5" xfId="0" applyFont="1" applyBorder="1">
      <alignment vertical="center"/>
    </xf>
    <xf numFmtId="0" fontId="9" fillId="0" borderId="9" xfId="0" applyFont="1" applyBorder="1" applyAlignment="1">
      <alignment horizontal="center" vertical="center"/>
    </xf>
    <xf numFmtId="0" fontId="7" fillId="5" borderId="1" xfId="1" applyFont="1" applyFill="1" applyBorder="1" applyAlignment="1">
      <alignment horizontal="center" vertical="center"/>
    </xf>
    <xf numFmtId="0" fontId="7" fillId="5" borderId="2" xfId="1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12" xfId="0" applyFont="1" applyFill="1" applyBorder="1">
      <alignment vertical="center"/>
    </xf>
    <xf numFmtId="0" fontId="14" fillId="0" borderId="3" xfId="0" quotePrefix="1" applyFont="1" applyBorder="1">
      <alignment vertical="center"/>
    </xf>
    <xf numFmtId="0" fontId="14" fillId="0" borderId="0" xfId="0" quotePrefix="1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4" fillId="0" borderId="3" xfId="0" applyFont="1" applyBorder="1">
      <alignment vertical="center"/>
    </xf>
    <xf numFmtId="0" fontId="14" fillId="6" borderId="3" xfId="0" applyFont="1" applyFill="1" applyBorder="1">
      <alignment vertical="center"/>
    </xf>
    <xf numFmtId="0" fontId="14" fillId="6" borderId="3" xfId="0" quotePrefix="1" applyFont="1" applyFill="1" applyBorder="1">
      <alignment vertical="center"/>
    </xf>
    <xf numFmtId="0" fontId="0" fillId="6" borderId="0" xfId="0" applyFill="1">
      <alignment vertical="center"/>
    </xf>
    <xf numFmtId="0" fontId="14" fillId="7" borderId="3" xfId="0" quotePrefix="1" applyFont="1" applyFill="1" applyBorder="1">
      <alignment vertical="center"/>
    </xf>
    <xf numFmtId="0" fontId="14" fillId="7" borderId="3" xfId="0" applyFont="1" applyFill="1" applyBorder="1">
      <alignment vertical="center"/>
    </xf>
    <xf numFmtId="0" fontId="0" fillId="7" borderId="0" xfId="0" applyFill="1">
      <alignment vertical="center"/>
    </xf>
    <xf numFmtId="0" fontId="9" fillId="0" borderId="13" xfId="0" applyFont="1" applyBorder="1">
      <alignment vertical="center"/>
    </xf>
    <xf numFmtId="0" fontId="9" fillId="0" borderId="13" xfId="0" applyFont="1" applyBorder="1" applyAlignment="1">
      <alignment vertical="center" wrapText="1"/>
    </xf>
    <xf numFmtId="0" fontId="9" fillId="0" borderId="14" xfId="0" quotePrefix="1" applyFont="1" applyBorder="1" applyAlignment="1">
      <alignment vertical="center" shrinkToFit="1"/>
    </xf>
    <xf numFmtId="0" fontId="9" fillId="0" borderId="14" xfId="0" applyFont="1" applyBorder="1" applyAlignment="1">
      <alignment vertical="center" shrinkToFit="1"/>
    </xf>
    <xf numFmtId="0" fontId="9" fillId="6" borderId="14" xfId="0" applyFont="1" applyFill="1" applyBorder="1" applyAlignment="1">
      <alignment vertical="center" shrinkToFit="1"/>
    </xf>
    <xf numFmtId="0" fontId="9" fillId="6" borderId="14" xfId="0" quotePrefix="1" applyFont="1" applyFill="1" applyBorder="1" applyAlignment="1">
      <alignment vertical="center" shrinkToFit="1"/>
    </xf>
    <xf numFmtId="0" fontId="9" fillId="7" borderId="14" xfId="0" quotePrefix="1" applyFont="1" applyFill="1" applyBorder="1" applyAlignment="1">
      <alignment vertical="center" shrinkToFit="1"/>
    </xf>
    <xf numFmtId="176" fontId="9" fillId="0" borderId="14" xfId="0" applyNumberFormat="1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6" fillId="0" borderId="14" xfId="2" quotePrefix="1" applyBorder="1" applyAlignment="1">
      <alignment vertical="center" shrinkToFit="1"/>
    </xf>
    <xf numFmtId="0" fontId="14" fillId="8" borderId="3" xfId="0" quotePrefix="1" applyFont="1" applyFill="1" applyBorder="1">
      <alignment vertical="center"/>
    </xf>
    <xf numFmtId="0" fontId="17" fillId="0" borderId="14" xfId="0" applyFont="1" applyBorder="1">
      <alignment vertical="center"/>
    </xf>
    <xf numFmtId="14" fontId="9" fillId="0" borderId="14" xfId="0" applyNumberFormat="1" applyFont="1" applyBorder="1" applyAlignment="1">
      <alignment vertical="center" shrinkToFit="1"/>
    </xf>
    <xf numFmtId="20" fontId="9" fillId="0" borderId="14" xfId="0" applyNumberFormat="1" applyFont="1" applyBorder="1" applyAlignment="1">
      <alignment vertical="center" shrinkToFit="1"/>
    </xf>
    <xf numFmtId="46" fontId="9" fillId="0" borderId="14" xfId="0" applyNumberFormat="1" applyFont="1" applyBorder="1" applyAlignment="1">
      <alignment vertical="center" shrinkToFit="1"/>
    </xf>
    <xf numFmtId="0" fontId="16" fillId="0" borderId="14" xfId="3" quotePrefix="1" applyBorder="1" applyAlignment="1">
      <alignment vertical="center" shrinkToFit="1"/>
    </xf>
    <xf numFmtId="0" fontId="0" fillId="0" borderId="14" xfId="0" applyBorder="1">
      <alignment vertical="center"/>
    </xf>
    <xf numFmtId="0" fontId="14" fillId="0" borderId="14" xfId="0" quotePrefix="1" applyFont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22" fillId="0" borderId="0" xfId="0" applyFont="1" applyAlignment="1">
      <alignment horizontal="left" vertical="center" indent="1"/>
    </xf>
    <xf numFmtId="0" fontId="22" fillId="0" borderId="14" xfId="0" applyFont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20" fillId="9" borderId="14" xfId="0" applyFont="1" applyFill="1" applyBorder="1" applyAlignment="1">
      <alignment horizontal="center" vertical="center" wrapText="1"/>
    </xf>
    <xf numFmtId="176" fontId="9" fillId="0" borderId="15" xfId="0" applyNumberFormat="1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>
      <alignment vertical="center"/>
    </xf>
    <xf numFmtId="0" fontId="7" fillId="5" borderId="18" xfId="1" applyFont="1" applyFill="1" applyBorder="1" applyAlignment="1">
      <alignment horizontal="center" vertical="center"/>
    </xf>
    <xf numFmtId="14" fontId="8" fillId="4" borderId="18" xfId="1" applyNumberFormat="1" applyFont="1" applyFill="1" applyBorder="1" applyAlignment="1">
      <alignment horizontal="left" vertical="center"/>
    </xf>
    <xf numFmtId="0" fontId="9" fillId="4" borderId="19" xfId="1" applyFont="1" applyFill="1" applyBorder="1" applyAlignment="1">
      <alignment horizontal="left" vertical="center"/>
    </xf>
    <xf numFmtId="0" fontId="12" fillId="4" borderId="18" xfId="1" applyFont="1" applyFill="1" applyBorder="1" applyAlignment="1">
      <alignment horizontal="left" vertical="center" shrinkToFit="1"/>
    </xf>
    <xf numFmtId="0" fontId="8" fillId="4" borderId="18" xfId="1" applyFont="1" applyFill="1" applyBorder="1" applyAlignment="1">
      <alignment horizontal="left" vertical="center"/>
    </xf>
    <xf numFmtId="0" fontId="6" fillId="5" borderId="10" xfId="1" applyFont="1" applyFill="1" applyBorder="1" applyAlignment="1">
      <alignment horizontal="center" vertical="center" wrapText="1"/>
    </xf>
    <xf numFmtId="0" fontId="6" fillId="5" borderId="1" xfId="1" applyFont="1" applyFill="1" applyBorder="1" applyAlignment="1">
      <alignment horizontal="center" vertical="center" wrapText="1" shrinkToFit="1"/>
    </xf>
    <xf numFmtId="0" fontId="6" fillId="5" borderId="18" xfId="1" applyFont="1" applyFill="1" applyBorder="1" applyAlignment="1">
      <alignment horizontal="center" vertical="center" shrinkToFit="1"/>
    </xf>
    <xf numFmtId="0" fontId="11" fillId="0" borderId="0" xfId="0" applyFont="1" applyAlignment="1">
      <alignment vertical="center"/>
    </xf>
    <xf numFmtId="0" fontId="9" fillId="5" borderId="20" xfId="0" applyFont="1" applyFill="1" applyBorder="1" applyAlignment="1">
      <alignment vertical="center"/>
    </xf>
    <xf numFmtId="0" fontId="6" fillId="5" borderId="21" xfId="1" applyFont="1" applyFill="1" applyBorder="1" applyAlignment="1">
      <alignment horizontal="center" vertical="center" shrinkToFit="1"/>
    </xf>
    <xf numFmtId="0" fontId="12" fillId="4" borderId="21" xfId="1" applyFont="1" applyFill="1" applyBorder="1" applyAlignment="1">
      <alignment horizontal="left" vertical="center" wrapText="1" shrinkToFit="1"/>
    </xf>
    <xf numFmtId="0" fontId="8" fillId="4" borderId="21" xfId="1" applyFont="1" applyFill="1" applyBorder="1" applyAlignment="1">
      <alignment horizontal="left" vertical="center"/>
    </xf>
    <xf numFmtId="0" fontId="7" fillId="5" borderId="21" xfId="1" applyFont="1" applyFill="1" applyBorder="1" applyAlignment="1">
      <alignment horizontal="center" vertical="center"/>
    </xf>
    <xf numFmtId="14" fontId="8" fillId="4" borderId="21" xfId="1" applyNumberFormat="1" applyFont="1" applyFill="1" applyBorder="1" applyAlignment="1">
      <alignment horizontal="left" vertical="center" wrapText="1"/>
    </xf>
    <xf numFmtId="0" fontId="8" fillId="4" borderId="22" xfId="1" applyFont="1" applyFill="1" applyBorder="1" applyAlignment="1">
      <alignment horizontal="left" vertical="center"/>
    </xf>
    <xf numFmtId="0" fontId="9" fillId="5" borderId="17" xfId="0" applyFont="1" applyFill="1" applyBorder="1" applyAlignment="1">
      <alignment vertical="center"/>
    </xf>
  </cellXfs>
  <cellStyles count="5">
    <cellStyle name="Hyperlink" xfId="3" xr:uid="{00000000-000B-0000-0000-000008000000}"/>
    <cellStyle name="ハイパーリンク" xfId="2" builtinId="8"/>
    <cellStyle name="標準" xfId="0" builtinId="0"/>
    <cellStyle name="標準 2" xfId="1" xr:uid="{A8C76EB1-2214-4B9F-8E2B-A3D385AF1311}"/>
    <cellStyle name="標準 3" xfId="4" xr:uid="{5476B420-486B-4F1D-BEB8-D6450FB88528}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6" formatCode="yyyy/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bottom style="double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44B2AF"/>
      <color rgb="FFCCFFCC"/>
      <color rgb="FF808080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5553075</xdr:colOff>
          <xdr:row>3</xdr:row>
          <xdr:rowOff>19050</xdr:rowOff>
        </xdr:to>
        <xdr:pic>
          <xdr:nvPicPr>
            <xdr:cNvPr id="4" name="図 3">
              <a:extLst>
                <a:ext uri="{FF2B5EF4-FFF2-40B4-BE49-F238E27FC236}">
                  <a16:creationId xmlns:a16="http://schemas.microsoft.com/office/drawing/2014/main" id="{F0587CB8-81AE-4F12-9BAD-C9096089123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32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39300" cy="733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5553075</xdr:colOff>
          <xdr:row>3</xdr:row>
          <xdr:rowOff>19050</xdr:rowOff>
        </xdr:to>
        <xdr:pic>
          <xdr:nvPicPr>
            <xdr:cNvPr id="3452" name="図 3">
              <a:extLst>
                <a:ext uri="{FF2B5EF4-FFF2-40B4-BE49-F238E27FC236}">
                  <a16:creationId xmlns:a16="http://schemas.microsoft.com/office/drawing/2014/main" id="{AD9E8353-98E9-FC5E-1F8C-27C3379F8B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32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39300" cy="690563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679450</xdr:colOff>
          <xdr:row>1</xdr:row>
          <xdr:rowOff>31750</xdr:rowOff>
        </xdr:from>
        <xdr:to>
          <xdr:col>5</xdr:col>
          <xdr:colOff>76200</xdr:colOff>
          <xdr:row>2</xdr:row>
          <xdr:rowOff>184150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3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1050018</xdr:colOff>
          <xdr:row>2</xdr:row>
          <xdr:rowOff>221343</xdr:rowOff>
        </xdr:to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55D77A97-E210-42D3-BA6C-BC3836FBDD4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339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29775" cy="723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8</xdr:col>
          <xdr:colOff>373743</xdr:colOff>
          <xdr:row>2</xdr:row>
          <xdr:rowOff>200932</xdr:rowOff>
        </xdr:to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88C69104-3ECB-4E91-9131-38006C44D5F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410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29775" cy="666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543379</xdr:colOff>
          <xdr:row>2</xdr:row>
          <xdr:rowOff>200932</xdr:rowOff>
        </xdr:to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E14A5E1C-B4D1-4086-8573-41A80072793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431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32043" cy="65813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6</xdr:col>
          <xdr:colOff>1180540</xdr:colOff>
          <xdr:row>2</xdr:row>
          <xdr:rowOff>218515</xdr:rowOff>
        </xdr:to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96D4BD16-D543-4F45-8D1F-ADBAF43CD33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441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29775" cy="666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363311</xdr:colOff>
          <xdr:row>2</xdr:row>
          <xdr:rowOff>200932</xdr:rowOff>
        </xdr:to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D7765B64-2716-41B4-B404-4AD2822322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420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29775" cy="666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363311</xdr:colOff>
          <xdr:row>3</xdr:row>
          <xdr:rowOff>54882</xdr:rowOff>
        </xdr:to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0BBCD530-5732-4DE0-8D51-BFA1C666465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512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40661" cy="6549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363311</xdr:colOff>
          <xdr:row>2</xdr:row>
          <xdr:rowOff>197757</xdr:rowOff>
        </xdr:to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B34B59AB-CB3C-4615-B46C-19F751C7AAC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451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40661" cy="65813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8</xdr:col>
      <xdr:colOff>564243</xdr:colOff>
      <xdr:row>0</xdr:row>
      <xdr:rowOff>0</xdr:rowOff>
    </xdr:from>
    <xdr:to>
      <xdr:col>13</xdr:col>
      <xdr:colOff>217714</xdr:colOff>
      <xdr:row>8</xdr:row>
      <xdr:rowOff>64861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2E376D6D-C6FD-1118-F8AF-3E4C707E6191}"/>
            </a:ext>
          </a:extLst>
        </xdr:cNvPr>
        <xdr:cNvSpPr/>
      </xdr:nvSpPr>
      <xdr:spPr>
        <a:xfrm>
          <a:off x="10511064" y="0"/>
          <a:ext cx="4130221" cy="1969861"/>
        </a:xfrm>
        <a:prstGeom prst="wedgeRoundRectCallout">
          <a:avLst>
            <a:gd name="adj1" fmla="val -70251"/>
            <a:gd name="adj2" fmla="val 48685"/>
            <a:gd name="adj3" fmla="val 166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・貯蔵品マスタ外計上先</a:t>
          </a:r>
          <a:endParaRPr kumimoji="1" lang="en-US" altLang="ja-JP" sz="1100"/>
        </a:p>
        <a:p>
          <a:pPr algn="l"/>
          <a:r>
            <a:rPr kumimoji="1" lang="ja-JP" altLang="en-US" sz="1100"/>
            <a:t>　同じ拠点</a:t>
          </a:r>
          <a:r>
            <a:rPr kumimoji="1" lang="en-US" altLang="ja-JP" sz="1100"/>
            <a:t>CD</a:t>
          </a:r>
          <a:r>
            <a:rPr kumimoji="1" lang="ja-JP" altLang="en-US" sz="1100"/>
            <a:t>のうち１件のみ１に設定可能</a:t>
          </a:r>
          <a:endParaRPr kumimoji="1" lang="en-US" altLang="ja-JP" sz="1100"/>
        </a:p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OBC</a:t>
          </a:r>
          <a:r>
            <a:rPr kumimoji="1" lang="ja-JP" altLang="en-US" sz="1100"/>
            <a:t>事業所代表フラグ</a:t>
          </a:r>
          <a:endParaRPr kumimoji="1" lang="en-US" altLang="ja-JP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/>
            <a:t>　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同じ拠点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CD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のうち１件のみ１に設定可能</a:t>
          </a:r>
          <a:endParaRPr kumimoji="1" lang="en-US" altLang="ja-JP" sz="1100"/>
        </a:p>
        <a:p>
          <a:pPr algn="l"/>
          <a:r>
            <a:rPr kumimoji="1" lang="ja-JP" altLang="en-US" sz="1100"/>
            <a:t>・勘定仕訳工程代表フラグ</a:t>
          </a:r>
          <a:endParaRPr kumimoji="1" lang="en-US" altLang="ja-JP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/>
            <a:t>　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同じ拠点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CD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、工程区分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CD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のうち１件のみ１に設定可能</a:t>
          </a:r>
          <a:endParaRPr lang="ja-JP" altLang="ja-JP">
            <a:effectLst/>
          </a:endParaRPr>
        </a:p>
        <a:p>
          <a:pPr algn="l"/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363311</xdr:colOff>
          <xdr:row>2</xdr:row>
          <xdr:rowOff>197757</xdr:rowOff>
        </xdr:to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C2A42DCD-C121-468B-B991-25934BAE8F9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461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40661" cy="65813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363311</xdr:colOff>
          <xdr:row>2</xdr:row>
          <xdr:rowOff>200932</xdr:rowOff>
        </xdr:to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564FFAF1-1E7D-480D-A653-C96560B838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471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40661" cy="6549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8</xdr:col>
          <xdr:colOff>906916</xdr:colOff>
          <xdr:row>3</xdr:row>
          <xdr:rowOff>153761</xdr:rowOff>
        </xdr:to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EB70AFA1-79F8-45C3-B942-E9BB0B8530B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257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88966" cy="7538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363311</xdr:colOff>
          <xdr:row>2</xdr:row>
          <xdr:rowOff>197757</xdr:rowOff>
        </xdr:to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C9A6C17E-D92B-4425-BAD4-46366D1B39D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482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40661" cy="65813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363311</xdr:colOff>
          <xdr:row>2</xdr:row>
          <xdr:rowOff>197757</xdr:rowOff>
        </xdr:to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EBEC949E-28FB-46B2-8A56-E4632594D40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492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40661" cy="65813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363311</xdr:colOff>
          <xdr:row>2</xdr:row>
          <xdr:rowOff>200932</xdr:rowOff>
        </xdr:to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DB125042-EAF1-4D90-B40F-3D9D33182B0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ー!$A$1:$G$3" spid="_x0000_s502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9640661" cy="65813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BFAC77-31E5-41CC-BF1A-C0E7DA637E13}" name="改訂履歴" displayName="改訂履歴" ref="A7:D21" totalsRowShown="0" headerRowDxfId="7" dataDxfId="6" headerRowBorderDxfId="4" tableBorderDxfId="5">
  <autoFilter ref="A7:D21" xr:uid="{3FBFAC77-31E5-41CC-BF1A-C0E7DA637E13}"/>
  <tableColumns count="4">
    <tableColumn id="1" xr3:uid="{A569D3F8-7662-4FAB-94FB-AFAEBABC6CF4}" name="版" dataDxfId="3"/>
    <tableColumn id="2" xr3:uid="{24CC07DD-F862-43CD-81AD-5CDB2BE1DAB2}" name="更新日" dataDxfId="2"/>
    <tableColumn id="3" xr3:uid="{394A7DB8-5312-4C54-8522-E62F310E435A}" name="更新者" dataDxfId="1"/>
    <tableColumn id="4" xr3:uid="{3A780C67-3AFD-4BF7-9DB5-DEF74FCF19E5}" name="更新内容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mailto:aaa@email.com" TargetMode="External"/><Relationship Id="rId21" Type="http://schemas.openxmlformats.org/officeDocument/2006/relationships/hyperlink" Target="mailto:aaa@email.com" TargetMode="External"/><Relationship Id="rId34" Type="http://schemas.openxmlformats.org/officeDocument/2006/relationships/hyperlink" Target="mailto:aaa@email.com" TargetMode="External"/><Relationship Id="rId42" Type="http://schemas.openxmlformats.org/officeDocument/2006/relationships/hyperlink" Target="mailto:aaa@email.com" TargetMode="External"/><Relationship Id="rId47" Type="http://schemas.openxmlformats.org/officeDocument/2006/relationships/hyperlink" Target="mailto:aaa@email.com" TargetMode="External"/><Relationship Id="rId50" Type="http://schemas.openxmlformats.org/officeDocument/2006/relationships/hyperlink" Target="mailto:aaa@email.com" TargetMode="External"/><Relationship Id="rId55" Type="http://schemas.openxmlformats.org/officeDocument/2006/relationships/hyperlink" Target="mailto:aaa@email.com" TargetMode="External"/><Relationship Id="rId63" Type="http://schemas.openxmlformats.org/officeDocument/2006/relationships/hyperlink" Target="mailto:aaa@email.com" TargetMode="External"/><Relationship Id="rId7" Type="http://schemas.openxmlformats.org/officeDocument/2006/relationships/hyperlink" Target="mailto:aaa@email.com" TargetMode="External"/><Relationship Id="rId2" Type="http://schemas.openxmlformats.org/officeDocument/2006/relationships/hyperlink" Target="mailto:aaa@email.com" TargetMode="External"/><Relationship Id="rId16" Type="http://schemas.openxmlformats.org/officeDocument/2006/relationships/hyperlink" Target="mailto:aaa@email.com" TargetMode="External"/><Relationship Id="rId29" Type="http://schemas.openxmlformats.org/officeDocument/2006/relationships/hyperlink" Target="mailto:aaa@email.com" TargetMode="External"/><Relationship Id="rId11" Type="http://schemas.openxmlformats.org/officeDocument/2006/relationships/hyperlink" Target="mailto:aaa@email.com" TargetMode="External"/><Relationship Id="rId24" Type="http://schemas.openxmlformats.org/officeDocument/2006/relationships/hyperlink" Target="mailto:aaa@email.com" TargetMode="External"/><Relationship Id="rId32" Type="http://schemas.openxmlformats.org/officeDocument/2006/relationships/hyperlink" Target="mailto:aaa@email.com" TargetMode="External"/><Relationship Id="rId37" Type="http://schemas.openxmlformats.org/officeDocument/2006/relationships/hyperlink" Target="mailto:aaa@email.com" TargetMode="External"/><Relationship Id="rId40" Type="http://schemas.openxmlformats.org/officeDocument/2006/relationships/hyperlink" Target="mailto:aaa@email.com" TargetMode="External"/><Relationship Id="rId45" Type="http://schemas.openxmlformats.org/officeDocument/2006/relationships/hyperlink" Target="mailto:aaa@email.com" TargetMode="External"/><Relationship Id="rId53" Type="http://schemas.openxmlformats.org/officeDocument/2006/relationships/hyperlink" Target="mailto:aaa@email.com" TargetMode="External"/><Relationship Id="rId58" Type="http://schemas.openxmlformats.org/officeDocument/2006/relationships/hyperlink" Target="mailto:aaa@email.com" TargetMode="External"/><Relationship Id="rId66" Type="http://schemas.openxmlformats.org/officeDocument/2006/relationships/hyperlink" Target="mailto:aaa@email.com" TargetMode="External"/><Relationship Id="rId5" Type="http://schemas.openxmlformats.org/officeDocument/2006/relationships/hyperlink" Target="mailto:aaa@email.com" TargetMode="External"/><Relationship Id="rId61" Type="http://schemas.openxmlformats.org/officeDocument/2006/relationships/hyperlink" Target="mailto:aaa@email.com" TargetMode="External"/><Relationship Id="rId19" Type="http://schemas.openxmlformats.org/officeDocument/2006/relationships/hyperlink" Target="mailto:aaa@email.com" TargetMode="External"/><Relationship Id="rId14" Type="http://schemas.openxmlformats.org/officeDocument/2006/relationships/hyperlink" Target="mailto:aaa@email.com" TargetMode="External"/><Relationship Id="rId22" Type="http://schemas.openxmlformats.org/officeDocument/2006/relationships/hyperlink" Target="mailto:aaa@email.com" TargetMode="External"/><Relationship Id="rId27" Type="http://schemas.openxmlformats.org/officeDocument/2006/relationships/hyperlink" Target="mailto:aaa@email.com" TargetMode="External"/><Relationship Id="rId30" Type="http://schemas.openxmlformats.org/officeDocument/2006/relationships/hyperlink" Target="mailto:aaa@email.com" TargetMode="External"/><Relationship Id="rId35" Type="http://schemas.openxmlformats.org/officeDocument/2006/relationships/hyperlink" Target="mailto:aaa@email.com" TargetMode="External"/><Relationship Id="rId43" Type="http://schemas.openxmlformats.org/officeDocument/2006/relationships/hyperlink" Target="mailto:aaa@email.com" TargetMode="External"/><Relationship Id="rId48" Type="http://schemas.openxmlformats.org/officeDocument/2006/relationships/hyperlink" Target="mailto:aaa@email.com" TargetMode="External"/><Relationship Id="rId56" Type="http://schemas.openxmlformats.org/officeDocument/2006/relationships/hyperlink" Target="mailto:aaa@email.com" TargetMode="External"/><Relationship Id="rId64" Type="http://schemas.openxmlformats.org/officeDocument/2006/relationships/hyperlink" Target="mailto:aaa@email.com" TargetMode="External"/><Relationship Id="rId8" Type="http://schemas.openxmlformats.org/officeDocument/2006/relationships/hyperlink" Target="mailto:aaa@email.com" TargetMode="External"/><Relationship Id="rId51" Type="http://schemas.openxmlformats.org/officeDocument/2006/relationships/hyperlink" Target="mailto:aaa@email.com" TargetMode="External"/><Relationship Id="rId3" Type="http://schemas.openxmlformats.org/officeDocument/2006/relationships/hyperlink" Target="mailto:aaa@email.com" TargetMode="External"/><Relationship Id="rId12" Type="http://schemas.openxmlformats.org/officeDocument/2006/relationships/hyperlink" Target="mailto:aaa@email.com" TargetMode="External"/><Relationship Id="rId17" Type="http://schemas.openxmlformats.org/officeDocument/2006/relationships/hyperlink" Target="mailto:aaa@email.com" TargetMode="External"/><Relationship Id="rId25" Type="http://schemas.openxmlformats.org/officeDocument/2006/relationships/hyperlink" Target="mailto:aaa@email.com" TargetMode="External"/><Relationship Id="rId33" Type="http://schemas.openxmlformats.org/officeDocument/2006/relationships/hyperlink" Target="mailto:aaa@email.com" TargetMode="External"/><Relationship Id="rId38" Type="http://schemas.openxmlformats.org/officeDocument/2006/relationships/hyperlink" Target="mailto:aaa@email.com" TargetMode="External"/><Relationship Id="rId46" Type="http://schemas.openxmlformats.org/officeDocument/2006/relationships/hyperlink" Target="mailto:aaa@email.com" TargetMode="External"/><Relationship Id="rId59" Type="http://schemas.openxmlformats.org/officeDocument/2006/relationships/hyperlink" Target="mailto:aaa@email.com" TargetMode="External"/><Relationship Id="rId67" Type="http://schemas.openxmlformats.org/officeDocument/2006/relationships/hyperlink" Target="mailto:sys-a@email.com" TargetMode="External"/><Relationship Id="rId20" Type="http://schemas.openxmlformats.org/officeDocument/2006/relationships/hyperlink" Target="mailto:aaa@email.com" TargetMode="External"/><Relationship Id="rId41" Type="http://schemas.openxmlformats.org/officeDocument/2006/relationships/hyperlink" Target="mailto:aaa@email.com" TargetMode="External"/><Relationship Id="rId54" Type="http://schemas.openxmlformats.org/officeDocument/2006/relationships/hyperlink" Target="mailto:aaa@email.com" TargetMode="External"/><Relationship Id="rId62" Type="http://schemas.openxmlformats.org/officeDocument/2006/relationships/hyperlink" Target="mailto:aaa@email.com" TargetMode="External"/><Relationship Id="rId1" Type="http://schemas.openxmlformats.org/officeDocument/2006/relationships/hyperlink" Target="mailto:aaa@email.com" TargetMode="External"/><Relationship Id="rId6" Type="http://schemas.openxmlformats.org/officeDocument/2006/relationships/hyperlink" Target="mailto:aaa@email.com" TargetMode="External"/><Relationship Id="rId15" Type="http://schemas.openxmlformats.org/officeDocument/2006/relationships/hyperlink" Target="mailto:aaa@email.com" TargetMode="External"/><Relationship Id="rId23" Type="http://schemas.openxmlformats.org/officeDocument/2006/relationships/hyperlink" Target="mailto:aaa@email.com" TargetMode="External"/><Relationship Id="rId28" Type="http://schemas.openxmlformats.org/officeDocument/2006/relationships/hyperlink" Target="mailto:aaa@email.com" TargetMode="External"/><Relationship Id="rId36" Type="http://schemas.openxmlformats.org/officeDocument/2006/relationships/hyperlink" Target="mailto:aaa@email.com" TargetMode="External"/><Relationship Id="rId49" Type="http://schemas.openxmlformats.org/officeDocument/2006/relationships/hyperlink" Target="mailto:aaa@email.com" TargetMode="External"/><Relationship Id="rId57" Type="http://schemas.openxmlformats.org/officeDocument/2006/relationships/hyperlink" Target="mailto:aaa@email.com" TargetMode="External"/><Relationship Id="rId10" Type="http://schemas.openxmlformats.org/officeDocument/2006/relationships/hyperlink" Target="mailto:aaa@email.com" TargetMode="External"/><Relationship Id="rId31" Type="http://schemas.openxmlformats.org/officeDocument/2006/relationships/hyperlink" Target="mailto:aaa@email.com" TargetMode="External"/><Relationship Id="rId44" Type="http://schemas.openxmlformats.org/officeDocument/2006/relationships/hyperlink" Target="mailto:aaa@email.com" TargetMode="External"/><Relationship Id="rId52" Type="http://schemas.openxmlformats.org/officeDocument/2006/relationships/hyperlink" Target="mailto:aaa@email.com" TargetMode="External"/><Relationship Id="rId60" Type="http://schemas.openxmlformats.org/officeDocument/2006/relationships/hyperlink" Target="mailto:aaa@email.com" TargetMode="External"/><Relationship Id="rId65" Type="http://schemas.openxmlformats.org/officeDocument/2006/relationships/hyperlink" Target="mailto:aaa@email.com" TargetMode="External"/><Relationship Id="rId4" Type="http://schemas.openxmlformats.org/officeDocument/2006/relationships/hyperlink" Target="mailto:aaa@email.com" TargetMode="External"/><Relationship Id="rId9" Type="http://schemas.openxmlformats.org/officeDocument/2006/relationships/hyperlink" Target="mailto:aaa@email.com" TargetMode="External"/><Relationship Id="rId13" Type="http://schemas.openxmlformats.org/officeDocument/2006/relationships/hyperlink" Target="mailto:aaa@email.com" TargetMode="External"/><Relationship Id="rId18" Type="http://schemas.openxmlformats.org/officeDocument/2006/relationships/hyperlink" Target="mailto:aaa@email.com" TargetMode="External"/><Relationship Id="rId39" Type="http://schemas.openxmlformats.org/officeDocument/2006/relationships/hyperlink" Target="mailto:aaa@e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mailto:sys-b@email.com" TargetMode="External"/><Relationship Id="rId1" Type="http://schemas.openxmlformats.org/officeDocument/2006/relationships/hyperlink" Target="mailto:sys-b@email.com" TargetMode="Externa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mailto:sys-b@email.com" TargetMode="External"/><Relationship Id="rId1" Type="http://schemas.openxmlformats.org/officeDocument/2006/relationships/hyperlink" Target="mailto:sys-b@email.com" TargetMode="Externa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mailto:sys-b@email.com" TargetMode="External"/><Relationship Id="rId1" Type="http://schemas.openxmlformats.org/officeDocument/2006/relationships/hyperlink" Target="mailto:sys-b@email.com" TargetMode="Externa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mailto:sys-b@email.com" TargetMode="External"/><Relationship Id="rId299" Type="http://schemas.openxmlformats.org/officeDocument/2006/relationships/hyperlink" Target="mailto:sys-b@email.com" TargetMode="External"/><Relationship Id="rId21" Type="http://schemas.openxmlformats.org/officeDocument/2006/relationships/hyperlink" Target="mailto:sys-b@email.com" TargetMode="External"/><Relationship Id="rId63" Type="http://schemas.openxmlformats.org/officeDocument/2006/relationships/hyperlink" Target="mailto:sys-b@email.com" TargetMode="External"/><Relationship Id="rId159" Type="http://schemas.openxmlformats.org/officeDocument/2006/relationships/hyperlink" Target="mailto:sys-b@email.com" TargetMode="External"/><Relationship Id="rId324" Type="http://schemas.openxmlformats.org/officeDocument/2006/relationships/hyperlink" Target="mailto:sys-b@email.com" TargetMode="External"/><Relationship Id="rId170" Type="http://schemas.openxmlformats.org/officeDocument/2006/relationships/hyperlink" Target="mailto:sys-b@email.com" TargetMode="External"/><Relationship Id="rId226" Type="http://schemas.openxmlformats.org/officeDocument/2006/relationships/hyperlink" Target="mailto:sys-b@email.com" TargetMode="External"/><Relationship Id="rId268" Type="http://schemas.openxmlformats.org/officeDocument/2006/relationships/hyperlink" Target="mailto:sys-b@email.com" TargetMode="External"/><Relationship Id="rId32" Type="http://schemas.openxmlformats.org/officeDocument/2006/relationships/hyperlink" Target="mailto:sys-b@email.com" TargetMode="External"/><Relationship Id="rId74" Type="http://schemas.openxmlformats.org/officeDocument/2006/relationships/hyperlink" Target="mailto:sys-b@email.com" TargetMode="External"/><Relationship Id="rId128" Type="http://schemas.openxmlformats.org/officeDocument/2006/relationships/hyperlink" Target="mailto:sys-b@email.com" TargetMode="External"/><Relationship Id="rId335" Type="http://schemas.openxmlformats.org/officeDocument/2006/relationships/hyperlink" Target="mailto:sys-b@email.com" TargetMode="External"/><Relationship Id="rId5" Type="http://schemas.openxmlformats.org/officeDocument/2006/relationships/hyperlink" Target="mailto:sys-b@email.com" TargetMode="External"/><Relationship Id="rId181" Type="http://schemas.openxmlformats.org/officeDocument/2006/relationships/hyperlink" Target="mailto:sys-b@email.com" TargetMode="External"/><Relationship Id="rId237" Type="http://schemas.openxmlformats.org/officeDocument/2006/relationships/hyperlink" Target="mailto:sys-b@email.com" TargetMode="External"/><Relationship Id="rId279" Type="http://schemas.openxmlformats.org/officeDocument/2006/relationships/hyperlink" Target="mailto:sys-b@email.com" TargetMode="External"/><Relationship Id="rId43" Type="http://schemas.openxmlformats.org/officeDocument/2006/relationships/hyperlink" Target="mailto:sys-b@email.com" TargetMode="External"/><Relationship Id="rId139" Type="http://schemas.openxmlformats.org/officeDocument/2006/relationships/hyperlink" Target="mailto:sys-b@email.com" TargetMode="External"/><Relationship Id="rId290" Type="http://schemas.openxmlformats.org/officeDocument/2006/relationships/hyperlink" Target="mailto:sys-b@email.com" TargetMode="External"/><Relationship Id="rId304" Type="http://schemas.openxmlformats.org/officeDocument/2006/relationships/hyperlink" Target="mailto:sys-b@email.com" TargetMode="External"/><Relationship Id="rId346" Type="http://schemas.openxmlformats.org/officeDocument/2006/relationships/vmlDrawing" Target="../drawings/vmlDrawing7.vml"/><Relationship Id="rId85" Type="http://schemas.openxmlformats.org/officeDocument/2006/relationships/hyperlink" Target="mailto:sys-b@email.com" TargetMode="External"/><Relationship Id="rId150" Type="http://schemas.openxmlformats.org/officeDocument/2006/relationships/hyperlink" Target="mailto:sys-b@email.com" TargetMode="External"/><Relationship Id="rId192" Type="http://schemas.openxmlformats.org/officeDocument/2006/relationships/hyperlink" Target="mailto:sys-b@email.com" TargetMode="External"/><Relationship Id="rId206" Type="http://schemas.openxmlformats.org/officeDocument/2006/relationships/hyperlink" Target="mailto:sys-b@email.com" TargetMode="External"/><Relationship Id="rId248" Type="http://schemas.openxmlformats.org/officeDocument/2006/relationships/hyperlink" Target="mailto:sys-b@email.com" TargetMode="External"/><Relationship Id="rId12" Type="http://schemas.openxmlformats.org/officeDocument/2006/relationships/hyperlink" Target="mailto:sys-b@email.com" TargetMode="External"/><Relationship Id="rId108" Type="http://schemas.openxmlformats.org/officeDocument/2006/relationships/hyperlink" Target="mailto:sys-b@email.com" TargetMode="External"/><Relationship Id="rId315" Type="http://schemas.openxmlformats.org/officeDocument/2006/relationships/hyperlink" Target="mailto:sys-b@email.com" TargetMode="External"/><Relationship Id="rId54" Type="http://schemas.openxmlformats.org/officeDocument/2006/relationships/hyperlink" Target="mailto:sys-b@email.com" TargetMode="External"/><Relationship Id="rId96" Type="http://schemas.openxmlformats.org/officeDocument/2006/relationships/hyperlink" Target="mailto:sys-b@email.com" TargetMode="External"/><Relationship Id="rId161" Type="http://schemas.openxmlformats.org/officeDocument/2006/relationships/hyperlink" Target="mailto:sys-b@email.com" TargetMode="External"/><Relationship Id="rId217" Type="http://schemas.openxmlformats.org/officeDocument/2006/relationships/hyperlink" Target="mailto:sys-b@email.com" TargetMode="External"/><Relationship Id="rId259" Type="http://schemas.openxmlformats.org/officeDocument/2006/relationships/hyperlink" Target="mailto:sys-b@email.com" TargetMode="External"/><Relationship Id="rId23" Type="http://schemas.openxmlformats.org/officeDocument/2006/relationships/hyperlink" Target="mailto:sys-b@email.com" TargetMode="External"/><Relationship Id="rId119" Type="http://schemas.openxmlformats.org/officeDocument/2006/relationships/hyperlink" Target="mailto:sys-b@email.com" TargetMode="External"/><Relationship Id="rId270" Type="http://schemas.openxmlformats.org/officeDocument/2006/relationships/hyperlink" Target="mailto:sys-b@email.com" TargetMode="External"/><Relationship Id="rId326" Type="http://schemas.openxmlformats.org/officeDocument/2006/relationships/hyperlink" Target="mailto:sys-b@email.com" TargetMode="External"/><Relationship Id="rId65" Type="http://schemas.openxmlformats.org/officeDocument/2006/relationships/hyperlink" Target="mailto:sys-b@email.com" TargetMode="External"/><Relationship Id="rId130" Type="http://schemas.openxmlformats.org/officeDocument/2006/relationships/hyperlink" Target="mailto:sys-b@email.com" TargetMode="External"/><Relationship Id="rId172" Type="http://schemas.openxmlformats.org/officeDocument/2006/relationships/hyperlink" Target="mailto:sys-b@email.com" TargetMode="External"/><Relationship Id="rId228" Type="http://schemas.openxmlformats.org/officeDocument/2006/relationships/hyperlink" Target="mailto:sys-b@email.com" TargetMode="External"/><Relationship Id="rId281" Type="http://schemas.openxmlformats.org/officeDocument/2006/relationships/hyperlink" Target="mailto:sys-b@email.com" TargetMode="External"/><Relationship Id="rId337" Type="http://schemas.openxmlformats.org/officeDocument/2006/relationships/hyperlink" Target="mailto:sys-b@email.com" TargetMode="External"/><Relationship Id="rId34" Type="http://schemas.openxmlformats.org/officeDocument/2006/relationships/hyperlink" Target="mailto:sys-b@email.com" TargetMode="External"/><Relationship Id="rId76" Type="http://schemas.openxmlformats.org/officeDocument/2006/relationships/hyperlink" Target="mailto:sys-b@email.com" TargetMode="External"/><Relationship Id="rId141" Type="http://schemas.openxmlformats.org/officeDocument/2006/relationships/hyperlink" Target="mailto:sys-b@email.com" TargetMode="External"/><Relationship Id="rId7" Type="http://schemas.openxmlformats.org/officeDocument/2006/relationships/hyperlink" Target="mailto:sys-b@email.com" TargetMode="External"/><Relationship Id="rId183" Type="http://schemas.openxmlformats.org/officeDocument/2006/relationships/hyperlink" Target="mailto:sys-b@email.com" TargetMode="External"/><Relationship Id="rId239" Type="http://schemas.openxmlformats.org/officeDocument/2006/relationships/hyperlink" Target="mailto:sys-b@email.com" TargetMode="External"/><Relationship Id="rId250" Type="http://schemas.openxmlformats.org/officeDocument/2006/relationships/hyperlink" Target="mailto:sys-b@email.com" TargetMode="External"/><Relationship Id="rId292" Type="http://schemas.openxmlformats.org/officeDocument/2006/relationships/hyperlink" Target="mailto:sys-b@email.com" TargetMode="External"/><Relationship Id="rId306" Type="http://schemas.openxmlformats.org/officeDocument/2006/relationships/hyperlink" Target="mailto:sys-b@email.com" TargetMode="External"/><Relationship Id="rId45" Type="http://schemas.openxmlformats.org/officeDocument/2006/relationships/hyperlink" Target="mailto:sys-b@email.com" TargetMode="External"/><Relationship Id="rId87" Type="http://schemas.openxmlformats.org/officeDocument/2006/relationships/hyperlink" Target="mailto:sys-b@email.com" TargetMode="External"/><Relationship Id="rId110" Type="http://schemas.openxmlformats.org/officeDocument/2006/relationships/hyperlink" Target="mailto:sys-b@email.com" TargetMode="External"/><Relationship Id="rId152" Type="http://schemas.openxmlformats.org/officeDocument/2006/relationships/hyperlink" Target="mailto:sys-b@email.com" TargetMode="External"/><Relationship Id="rId194" Type="http://schemas.openxmlformats.org/officeDocument/2006/relationships/hyperlink" Target="mailto:sys-b@email.com" TargetMode="External"/><Relationship Id="rId208" Type="http://schemas.openxmlformats.org/officeDocument/2006/relationships/hyperlink" Target="mailto:sys-b@email.com" TargetMode="External"/><Relationship Id="rId261" Type="http://schemas.openxmlformats.org/officeDocument/2006/relationships/hyperlink" Target="mailto:sys-b@email.com" TargetMode="External"/><Relationship Id="rId14" Type="http://schemas.openxmlformats.org/officeDocument/2006/relationships/hyperlink" Target="mailto:sys-b@email.com" TargetMode="External"/><Relationship Id="rId35" Type="http://schemas.openxmlformats.org/officeDocument/2006/relationships/hyperlink" Target="mailto:sys-b@email.com" TargetMode="External"/><Relationship Id="rId56" Type="http://schemas.openxmlformats.org/officeDocument/2006/relationships/hyperlink" Target="mailto:sys-b@email.com" TargetMode="External"/><Relationship Id="rId77" Type="http://schemas.openxmlformats.org/officeDocument/2006/relationships/hyperlink" Target="mailto:sys-b@email.com" TargetMode="External"/><Relationship Id="rId100" Type="http://schemas.openxmlformats.org/officeDocument/2006/relationships/hyperlink" Target="mailto:sys-b@email.com" TargetMode="External"/><Relationship Id="rId282" Type="http://schemas.openxmlformats.org/officeDocument/2006/relationships/hyperlink" Target="mailto:sys-b@email.com" TargetMode="External"/><Relationship Id="rId317" Type="http://schemas.openxmlformats.org/officeDocument/2006/relationships/hyperlink" Target="mailto:sys-b@email.com" TargetMode="External"/><Relationship Id="rId338" Type="http://schemas.openxmlformats.org/officeDocument/2006/relationships/hyperlink" Target="mailto:sys-b@email.com" TargetMode="External"/><Relationship Id="rId8" Type="http://schemas.openxmlformats.org/officeDocument/2006/relationships/hyperlink" Target="mailto:sys-b@email.com" TargetMode="External"/><Relationship Id="rId98" Type="http://schemas.openxmlformats.org/officeDocument/2006/relationships/hyperlink" Target="mailto:sys-b@email.com" TargetMode="External"/><Relationship Id="rId121" Type="http://schemas.openxmlformats.org/officeDocument/2006/relationships/hyperlink" Target="mailto:sys-b@email.com" TargetMode="External"/><Relationship Id="rId142" Type="http://schemas.openxmlformats.org/officeDocument/2006/relationships/hyperlink" Target="mailto:sys-b@email.com" TargetMode="External"/><Relationship Id="rId163" Type="http://schemas.openxmlformats.org/officeDocument/2006/relationships/hyperlink" Target="mailto:sys-b@email.com" TargetMode="External"/><Relationship Id="rId184" Type="http://schemas.openxmlformats.org/officeDocument/2006/relationships/hyperlink" Target="mailto:sys-b@email.com" TargetMode="External"/><Relationship Id="rId219" Type="http://schemas.openxmlformats.org/officeDocument/2006/relationships/hyperlink" Target="mailto:sys-b@email.com" TargetMode="External"/><Relationship Id="rId230" Type="http://schemas.openxmlformats.org/officeDocument/2006/relationships/hyperlink" Target="mailto:sys-b@email.com" TargetMode="External"/><Relationship Id="rId251" Type="http://schemas.openxmlformats.org/officeDocument/2006/relationships/hyperlink" Target="mailto:sys-b@email.com" TargetMode="External"/><Relationship Id="rId25" Type="http://schemas.openxmlformats.org/officeDocument/2006/relationships/hyperlink" Target="mailto:sys-b@email.com" TargetMode="External"/><Relationship Id="rId46" Type="http://schemas.openxmlformats.org/officeDocument/2006/relationships/hyperlink" Target="mailto:sys-b@email.com" TargetMode="External"/><Relationship Id="rId67" Type="http://schemas.openxmlformats.org/officeDocument/2006/relationships/hyperlink" Target="mailto:sys-b@email.com" TargetMode="External"/><Relationship Id="rId272" Type="http://schemas.openxmlformats.org/officeDocument/2006/relationships/hyperlink" Target="mailto:sys-b@email.com" TargetMode="External"/><Relationship Id="rId293" Type="http://schemas.openxmlformats.org/officeDocument/2006/relationships/hyperlink" Target="mailto:sys-b@email.com" TargetMode="External"/><Relationship Id="rId307" Type="http://schemas.openxmlformats.org/officeDocument/2006/relationships/hyperlink" Target="mailto:sys-b@email.com" TargetMode="External"/><Relationship Id="rId328" Type="http://schemas.openxmlformats.org/officeDocument/2006/relationships/hyperlink" Target="mailto:sys-b@email.com" TargetMode="External"/><Relationship Id="rId88" Type="http://schemas.openxmlformats.org/officeDocument/2006/relationships/hyperlink" Target="mailto:sys-b@email.com" TargetMode="External"/><Relationship Id="rId111" Type="http://schemas.openxmlformats.org/officeDocument/2006/relationships/hyperlink" Target="mailto:sys-b@email.com" TargetMode="External"/><Relationship Id="rId132" Type="http://schemas.openxmlformats.org/officeDocument/2006/relationships/hyperlink" Target="mailto:sys-b@email.com" TargetMode="External"/><Relationship Id="rId153" Type="http://schemas.openxmlformats.org/officeDocument/2006/relationships/hyperlink" Target="mailto:sys-b@email.com" TargetMode="External"/><Relationship Id="rId174" Type="http://schemas.openxmlformats.org/officeDocument/2006/relationships/hyperlink" Target="mailto:sys-b@email.com" TargetMode="External"/><Relationship Id="rId195" Type="http://schemas.openxmlformats.org/officeDocument/2006/relationships/hyperlink" Target="mailto:sys-b@email.com" TargetMode="External"/><Relationship Id="rId209" Type="http://schemas.openxmlformats.org/officeDocument/2006/relationships/hyperlink" Target="mailto:sys-b@email.com" TargetMode="External"/><Relationship Id="rId220" Type="http://schemas.openxmlformats.org/officeDocument/2006/relationships/hyperlink" Target="mailto:sys-b@email.com" TargetMode="External"/><Relationship Id="rId241" Type="http://schemas.openxmlformats.org/officeDocument/2006/relationships/hyperlink" Target="mailto:sys-b@email.com" TargetMode="External"/><Relationship Id="rId15" Type="http://schemas.openxmlformats.org/officeDocument/2006/relationships/hyperlink" Target="mailto:sys-b@email.com" TargetMode="External"/><Relationship Id="rId36" Type="http://schemas.openxmlformats.org/officeDocument/2006/relationships/hyperlink" Target="mailto:sys-b@email.com" TargetMode="External"/><Relationship Id="rId57" Type="http://schemas.openxmlformats.org/officeDocument/2006/relationships/hyperlink" Target="mailto:sys-b@email.com" TargetMode="External"/><Relationship Id="rId262" Type="http://schemas.openxmlformats.org/officeDocument/2006/relationships/hyperlink" Target="mailto:sys-b@email.com" TargetMode="External"/><Relationship Id="rId283" Type="http://schemas.openxmlformats.org/officeDocument/2006/relationships/hyperlink" Target="mailto:sys-b@email.com" TargetMode="External"/><Relationship Id="rId318" Type="http://schemas.openxmlformats.org/officeDocument/2006/relationships/hyperlink" Target="mailto:sys-b@email.com" TargetMode="External"/><Relationship Id="rId339" Type="http://schemas.openxmlformats.org/officeDocument/2006/relationships/hyperlink" Target="mailto:sys-b@email.com" TargetMode="External"/><Relationship Id="rId78" Type="http://schemas.openxmlformats.org/officeDocument/2006/relationships/hyperlink" Target="mailto:sys-b@email.com" TargetMode="External"/><Relationship Id="rId99" Type="http://schemas.openxmlformats.org/officeDocument/2006/relationships/hyperlink" Target="mailto:sys-b@email.com" TargetMode="External"/><Relationship Id="rId101" Type="http://schemas.openxmlformats.org/officeDocument/2006/relationships/hyperlink" Target="mailto:sys-b@email.com" TargetMode="External"/><Relationship Id="rId122" Type="http://schemas.openxmlformats.org/officeDocument/2006/relationships/hyperlink" Target="mailto:sys-b@email.com" TargetMode="External"/><Relationship Id="rId143" Type="http://schemas.openxmlformats.org/officeDocument/2006/relationships/hyperlink" Target="mailto:sys-b@email.com" TargetMode="External"/><Relationship Id="rId164" Type="http://schemas.openxmlformats.org/officeDocument/2006/relationships/hyperlink" Target="mailto:sys-b@email.com" TargetMode="External"/><Relationship Id="rId185" Type="http://schemas.openxmlformats.org/officeDocument/2006/relationships/hyperlink" Target="mailto:sys-b@email.com" TargetMode="External"/><Relationship Id="rId9" Type="http://schemas.openxmlformats.org/officeDocument/2006/relationships/hyperlink" Target="mailto:sys-b@email.com" TargetMode="External"/><Relationship Id="rId210" Type="http://schemas.openxmlformats.org/officeDocument/2006/relationships/hyperlink" Target="mailto:sys-b@email.com" TargetMode="External"/><Relationship Id="rId26" Type="http://schemas.openxmlformats.org/officeDocument/2006/relationships/hyperlink" Target="mailto:sys-b@email.com" TargetMode="External"/><Relationship Id="rId231" Type="http://schemas.openxmlformats.org/officeDocument/2006/relationships/hyperlink" Target="mailto:sys-b@email.com" TargetMode="External"/><Relationship Id="rId252" Type="http://schemas.openxmlformats.org/officeDocument/2006/relationships/hyperlink" Target="mailto:sys-b@email.com" TargetMode="External"/><Relationship Id="rId273" Type="http://schemas.openxmlformats.org/officeDocument/2006/relationships/hyperlink" Target="mailto:sys-b@email.com" TargetMode="External"/><Relationship Id="rId294" Type="http://schemas.openxmlformats.org/officeDocument/2006/relationships/hyperlink" Target="mailto:sys-b@email.com" TargetMode="External"/><Relationship Id="rId308" Type="http://schemas.openxmlformats.org/officeDocument/2006/relationships/hyperlink" Target="mailto:sys-b@email.com" TargetMode="External"/><Relationship Id="rId329" Type="http://schemas.openxmlformats.org/officeDocument/2006/relationships/hyperlink" Target="mailto:sys-b@email.com" TargetMode="External"/><Relationship Id="rId47" Type="http://schemas.openxmlformats.org/officeDocument/2006/relationships/hyperlink" Target="mailto:sys-b@email.com" TargetMode="External"/><Relationship Id="rId68" Type="http://schemas.openxmlformats.org/officeDocument/2006/relationships/hyperlink" Target="mailto:sys-b@email.com" TargetMode="External"/><Relationship Id="rId89" Type="http://schemas.openxmlformats.org/officeDocument/2006/relationships/hyperlink" Target="mailto:sys-b@email.com" TargetMode="External"/><Relationship Id="rId112" Type="http://schemas.openxmlformats.org/officeDocument/2006/relationships/hyperlink" Target="mailto:sys-b@email.com" TargetMode="External"/><Relationship Id="rId133" Type="http://schemas.openxmlformats.org/officeDocument/2006/relationships/hyperlink" Target="mailto:sys-b@email.com" TargetMode="External"/><Relationship Id="rId154" Type="http://schemas.openxmlformats.org/officeDocument/2006/relationships/hyperlink" Target="mailto:sys-b@email.com" TargetMode="External"/><Relationship Id="rId175" Type="http://schemas.openxmlformats.org/officeDocument/2006/relationships/hyperlink" Target="mailto:sys-b@email.com" TargetMode="External"/><Relationship Id="rId340" Type="http://schemas.openxmlformats.org/officeDocument/2006/relationships/hyperlink" Target="mailto:sys-b@email.com" TargetMode="External"/><Relationship Id="rId196" Type="http://schemas.openxmlformats.org/officeDocument/2006/relationships/hyperlink" Target="mailto:sys-b@email.com" TargetMode="External"/><Relationship Id="rId200" Type="http://schemas.openxmlformats.org/officeDocument/2006/relationships/hyperlink" Target="mailto:sys-b@email.com" TargetMode="External"/><Relationship Id="rId16" Type="http://schemas.openxmlformats.org/officeDocument/2006/relationships/hyperlink" Target="mailto:sys-b@email.com" TargetMode="External"/><Relationship Id="rId221" Type="http://schemas.openxmlformats.org/officeDocument/2006/relationships/hyperlink" Target="mailto:sys-b@email.com" TargetMode="External"/><Relationship Id="rId242" Type="http://schemas.openxmlformats.org/officeDocument/2006/relationships/hyperlink" Target="mailto:sys-b@email.com" TargetMode="External"/><Relationship Id="rId263" Type="http://schemas.openxmlformats.org/officeDocument/2006/relationships/hyperlink" Target="mailto:sys-b@email.com" TargetMode="External"/><Relationship Id="rId284" Type="http://schemas.openxmlformats.org/officeDocument/2006/relationships/hyperlink" Target="mailto:sys-b@email.com" TargetMode="External"/><Relationship Id="rId319" Type="http://schemas.openxmlformats.org/officeDocument/2006/relationships/hyperlink" Target="mailto:sys-b@email.com" TargetMode="External"/><Relationship Id="rId37" Type="http://schemas.openxmlformats.org/officeDocument/2006/relationships/hyperlink" Target="mailto:sys-b@email.com" TargetMode="External"/><Relationship Id="rId58" Type="http://schemas.openxmlformats.org/officeDocument/2006/relationships/hyperlink" Target="mailto:sys-b@email.com" TargetMode="External"/><Relationship Id="rId79" Type="http://schemas.openxmlformats.org/officeDocument/2006/relationships/hyperlink" Target="mailto:sys-b@email.com" TargetMode="External"/><Relationship Id="rId102" Type="http://schemas.openxmlformats.org/officeDocument/2006/relationships/hyperlink" Target="mailto:sys-b@email.com" TargetMode="External"/><Relationship Id="rId123" Type="http://schemas.openxmlformats.org/officeDocument/2006/relationships/hyperlink" Target="mailto:sys-b@email.com" TargetMode="External"/><Relationship Id="rId144" Type="http://schemas.openxmlformats.org/officeDocument/2006/relationships/hyperlink" Target="mailto:sys-b@email.com" TargetMode="External"/><Relationship Id="rId330" Type="http://schemas.openxmlformats.org/officeDocument/2006/relationships/hyperlink" Target="mailto:sys-b@email.com" TargetMode="External"/><Relationship Id="rId90" Type="http://schemas.openxmlformats.org/officeDocument/2006/relationships/hyperlink" Target="mailto:sys-b@email.com" TargetMode="External"/><Relationship Id="rId165" Type="http://schemas.openxmlformats.org/officeDocument/2006/relationships/hyperlink" Target="mailto:sys-b@email.com" TargetMode="External"/><Relationship Id="rId186" Type="http://schemas.openxmlformats.org/officeDocument/2006/relationships/hyperlink" Target="mailto:sys-b@email.com" TargetMode="External"/><Relationship Id="rId211" Type="http://schemas.openxmlformats.org/officeDocument/2006/relationships/hyperlink" Target="mailto:sys-b@email.com" TargetMode="External"/><Relationship Id="rId232" Type="http://schemas.openxmlformats.org/officeDocument/2006/relationships/hyperlink" Target="mailto:sys-b@email.com" TargetMode="External"/><Relationship Id="rId253" Type="http://schemas.openxmlformats.org/officeDocument/2006/relationships/hyperlink" Target="mailto:sys-b@email.com" TargetMode="External"/><Relationship Id="rId274" Type="http://schemas.openxmlformats.org/officeDocument/2006/relationships/hyperlink" Target="mailto:sys-b@email.com" TargetMode="External"/><Relationship Id="rId295" Type="http://schemas.openxmlformats.org/officeDocument/2006/relationships/hyperlink" Target="mailto:sys-b@email.com" TargetMode="External"/><Relationship Id="rId309" Type="http://schemas.openxmlformats.org/officeDocument/2006/relationships/hyperlink" Target="mailto:sys-b@email.com" TargetMode="External"/><Relationship Id="rId27" Type="http://schemas.openxmlformats.org/officeDocument/2006/relationships/hyperlink" Target="mailto:sys-b@email.com" TargetMode="External"/><Relationship Id="rId48" Type="http://schemas.openxmlformats.org/officeDocument/2006/relationships/hyperlink" Target="mailto:sys-b@email.com" TargetMode="External"/><Relationship Id="rId69" Type="http://schemas.openxmlformats.org/officeDocument/2006/relationships/hyperlink" Target="mailto:sys-b@email.com" TargetMode="External"/><Relationship Id="rId113" Type="http://schemas.openxmlformats.org/officeDocument/2006/relationships/hyperlink" Target="mailto:sys-b@email.com" TargetMode="External"/><Relationship Id="rId134" Type="http://schemas.openxmlformats.org/officeDocument/2006/relationships/hyperlink" Target="mailto:sys-b@email.com" TargetMode="External"/><Relationship Id="rId320" Type="http://schemas.openxmlformats.org/officeDocument/2006/relationships/hyperlink" Target="mailto:sys-b@email.com" TargetMode="External"/><Relationship Id="rId80" Type="http://schemas.openxmlformats.org/officeDocument/2006/relationships/hyperlink" Target="mailto:sys-b@email.com" TargetMode="External"/><Relationship Id="rId155" Type="http://schemas.openxmlformats.org/officeDocument/2006/relationships/hyperlink" Target="mailto:sys-b@email.com" TargetMode="External"/><Relationship Id="rId176" Type="http://schemas.openxmlformats.org/officeDocument/2006/relationships/hyperlink" Target="mailto:sys-b@email.com" TargetMode="External"/><Relationship Id="rId197" Type="http://schemas.openxmlformats.org/officeDocument/2006/relationships/hyperlink" Target="mailto:sys-b@email.com" TargetMode="External"/><Relationship Id="rId341" Type="http://schemas.openxmlformats.org/officeDocument/2006/relationships/hyperlink" Target="mailto:sys-b@email.com" TargetMode="External"/><Relationship Id="rId201" Type="http://schemas.openxmlformats.org/officeDocument/2006/relationships/hyperlink" Target="mailto:sys-b@email.com" TargetMode="External"/><Relationship Id="rId222" Type="http://schemas.openxmlformats.org/officeDocument/2006/relationships/hyperlink" Target="mailto:sys-b@email.com" TargetMode="External"/><Relationship Id="rId243" Type="http://schemas.openxmlformats.org/officeDocument/2006/relationships/hyperlink" Target="mailto:sys-b@email.com" TargetMode="External"/><Relationship Id="rId264" Type="http://schemas.openxmlformats.org/officeDocument/2006/relationships/hyperlink" Target="mailto:sys-b@email.com" TargetMode="External"/><Relationship Id="rId285" Type="http://schemas.openxmlformats.org/officeDocument/2006/relationships/hyperlink" Target="mailto:sys-b@email.com" TargetMode="External"/><Relationship Id="rId17" Type="http://schemas.openxmlformats.org/officeDocument/2006/relationships/hyperlink" Target="mailto:sys-b@email.com" TargetMode="External"/><Relationship Id="rId38" Type="http://schemas.openxmlformats.org/officeDocument/2006/relationships/hyperlink" Target="mailto:sys-b@email.com" TargetMode="External"/><Relationship Id="rId59" Type="http://schemas.openxmlformats.org/officeDocument/2006/relationships/hyperlink" Target="mailto:sys-b@email.com" TargetMode="External"/><Relationship Id="rId103" Type="http://schemas.openxmlformats.org/officeDocument/2006/relationships/hyperlink" Target="mailto:sys-b@email.com" TargetMode="External"/><Relationship Id="rId124" Type="http://schemas.openxmlformats.org/officeDocument/2006/relationships/hyperlink" Target="mailto:sys-b@email.com" TargetMode="External"/><Relationship Id="rId310" Type="http://schemas.openxmlformats.org/officeDocument/2006/relationships/hyperlink" Target="mailto:sys-b@email.com" TargetMode="External"/><Relationship Id="rId70" Type="http://schemas.openxmlformats.org/officeDocument/2006/relationships/hyperlink" Target="mailto:sys-b@email.com" TargetMode="External"/><Relationship Id="rId91" Type="http://schemas.openxmlformats.org/officeDocument/2006/relationships/hyperlink" Target="mailto:sys-b@email.com" TargetMode="External"/><Relationship Id="rId145" Type="http://schemas.openxmlformats.org/officeDocument/2006/relationships/hyperlink" Target="mailto:sys-b@email.com" TargetMode="External"/><Relationship Id="rId166" Type="http://schemas.openxmlformats.org/officeDocument/2006/relationships/hyperlink" Target="mailto:sys-b@email.com" TargetMode="External"/><Relationship Id="rId187" Type="http://schemas.openxmlformats.org/officeDocument/2006/relationships/hyperlink" Target="mailto:sys-b@email.com" TargetMode="External"/><Relationship Id="rId331" Type="http://schemas.openxmlformats.org/officeDocument/2006/relationships/hyperlink" Target="mailto:sys-b@email.com" TargetMode="External"/><Relationship Id="rId1" Type="http://schemas.openxmlformats.org/officeDocument/2006/relationships/hyperlink" Target="mailto:sys-b@email.com" TargetMode="External"/><Relationship Id="rId212" Type="http://schemas.openxmlformats.org/officeDocument/2006/relationships/hyperlink" Target="mailto:sys-b@email.com" TargetMode="External"/><Relationship Id="rId233" Type="http://schemas.openxmlformats.org/officeDocument/2006/relationships/hyperlink" Target="mailto:sys-b@email.com" TargetMode="External"/><Relationship Id="rId254" Type="http://schemas.openxmlformats.org/officeDocument/2006/relationships/hyperlink" Target="mailto:sys-b@email.com" TargetMode="External"/><Relationship Id="rId28" Type="http://schemas.openxmlformats.org/officeDocument/2006/relationships/hyperlink" Target="mailto:sys-b@email.com" TargetMode="External"/><Relationship Id="rId49" Type="http://schemas.openxmlformats.org/officeDocument/2006/relationships/hyperlink" Target="mailto:sys-b@email.com" TargetMode="External"/><Relationship Id="rId114" Type="http://schemas.openxmlformats.org/officeDocument/2006/relationships/hyperlink" Target="mailto:sys-b@email.com" TargetMode="External"/><Relationship Id="rId275" Type="http://schemas.openxmlformats.org/officeDocument/2006/relationships/hyperlink" Target="mailto:sys-b@email.com" TargetMode="External"/><Relationship Id="rId296" Type="http://schemas.openxmlformats.org/officeDocument/2006/relationships/hyperlink" Target="mailto:sys-b@email.com" TargetMode="External"/><Relationship Id="rId300" Type="http://schemas.openxmlformats.org/officeDocument/2006/relationships/hyperlink" Target="mailto:sys-b@email.com" TargetMode="External"/><Relationship Id="rId60" Type="http://schemas.openxmlformats.org/officeDocument/2006/relationships/hyperlink" Target="mailto:sys-b@email.com" TargetMode="External"/><Relationship Id="rId81" Type="http://schemas.openxmlformats.org/officeDocument/2006/relationships/hyperlink" Target="mailto:sys-b@email.com" TargetMode="External"/><Relationship Id="rId135" Type="http://schemas.openxmlformats.org/officeDocument/2006/relationships/hyperlink" Target="mailto:sys-b@email.com" TargetMode="External"/><Relationship Id="rId156" Type="http://schemas.openxmlformats.org/officeDocument/2006/relationships/hyperlink" Target="mailto:sys-b@email.com" TargetMode="External"/><Relationship Id="rId177" Type="http://schemas.openxmlformats.org/officeDocument/2006/relationships/hyperlink" Target="mailto:sys-b@email.com" TargetMode="External"/><Relationship Id="rId198" Type="http://schemas.openxmlformats.org/officeDocument/2006/relationships/hyperlink" Target="mailto:sys-b@email.com" TargetMode="External"/><Relationship Id="rId321" Type="http://schemas.openxmlformats.org/officeDocument/2006/relationships/hyperlink" Target="mailto:sys-b@email.com" TargetMode="External"/><Relationship Id="rId342" Type="http://schemas.openxmlformats.org/officeDocument/2006/relationships/hyperlink" Target="mailto:sys-b@email.com" TargetMode="External"/><Relationship Id="rId202" Type="http://schemas.openxmlformats.org/officeDocument/2006/relationships/hyperlink" Target="mailto:sys-b@email.com" TargetMode="External"/><Relationship Id="rId223" Type="http://schemas.openxmlformats.org/officeDocument/2006/relationships/hyperlink" Target="mailto:sys-b@email.com" TargetMode="External"/><Relationship Id="rId244" Type="http://schemas.openxmlformats.org/officeDocument/2006/relationships/hyperlink" Target="mailto:sys-b@email.com" TargetMode="External"/><Relationship Id="rId18" Type="http://schemas.openxmlformats.org/officeDocument/2006/relationships/hyperlink" Target="mailto:sys-b@email.com" TargetMode="External"/><Relationship Id="rId39" Type="http://schemas.openxmlformats.org/officeDocument/2006/relationships/hyperlink" Target="mailto:sys-b@email.com" TargetMode="External"/><Relationship Id="rId265" Type="http://schemas.openxmlformats.org/officeDocument/2006/relationships/hyperlink" Target="mailto:sys-b@email.com" TargetMode="External"/><Relationship Id="rId286" Type="http://schemas.openxmlformats.org/officeDocument/2006/relationships/hyperlink" Target="mailto:sys-b@email.com" TargetMode="External"/><Relationship Id="rId50" Type="http://schemas.openxmlformats.org/officeDocument/2006/relationships/hyperlink" Target="mailto:sys-b@email.com" TargetMode="External"/><Relationship Id="rId104" Type="http://schemas.openxmlformats.org/officeDocument/2006/relationships/hyperlink" Target="mailto:sys-b@email.com" TargetMode="External"/><Relationship Id="rId125" Type="http://schemas.openxmlformats.org/officeDocument/2006/relationships/hyperlink" Target="mailto:sys-b@email.com" TargetMode="External"/><Relationship Id="rId146" Type="http://schemas.openxmlformats.org/officeDocument/2006/relationships/hyperlink" Target="mailto:sys-b@email.com" TargetMode="External"/><Relationship Id="rId167" Type="http://schemas.openxmlformats.org/officeDocument/2006/relationships/hyperlink" Target="mailto:sys-b@email.com" TargetMode="External"/><Relationship Id="rId188" Type="http://schemas.openxmlformats.org/officeDocument/2006/relationships/hyperlink" Target="mailto:sys-b@email.com" TargetMode="External"/><Relationship Id="rId311" Type="http://schemas.openxmlformats.org/officeDocument/2006/relationships/hyperlink" Target="mailto:sys-b@email.com" TargetMode="External"/><Relationship Id="rId332" Type="http://schemas.openxmlformats.org/officeDocument/2006/relationships/hyperlink" Target="mailto:sys-b@email.com" TargetMode="External"/><Relationship Id="rId71" Type="http://schemas.openxmlformats.org/officeDocument/2006/relationships/hyperlink" Target="mailto:sys-b@email.com" TargetMode="External"/><Relationship Id="rId92" Type="http://schemas.openxmlformats.org/officeDocument/2006/relationships/hyperlink" Target="mailto:sys-b@email.com" TargetMode="External"/><Relationship Id="rId213" Type="http://schemas.openxmlformats.org/officeDocument/2006/relationships/hyperlink" Target="mailto:sys-b@email.com" TargetMode="External"/><Relationship Id="rId234" Type="http://schemas.openxmlformats.org/officeDocument/2006/relationships/hyperlink" Target="mailto:sys-b@email.com" TargetMode="External"/><Relationship Id="rId2" Type="http://schemas.openxmlformats.org/officeDocument/2006/relationships/hyperlink" Target="mailto:sys-b@email.com" TargetMode="External"/><Relationship Id="rId29" Type="http://schemas.openxmlformats.org/officeDocument/2006/relationships/hyperlink" Target="mailto:sys-b@email.com" TargetMode="External"/><Relationship Id="rId255" Type="http://schemas.openxmlformats.org/officeDocument/2006/relationships/hyperlink" Target="mailto:sys-b@email.com" TargetMode="External"/><Relationship Id="rId276" Type="http://schemas.openxmlformats.org/officeDocument/2006/relationships/hyperlink" Target="mailto:sys-b@email.com" TargetMode="External"/><Relationship Id="rId297" Type="http://schemas.openxmlformats.org/officeDocument/2006/relationships/hyperlink" Target="mailto:sys-b@email.com" TargetMode="External"/><Relationship Id="rId40" Type="http://schemas.openxmlformats.org/officeDocument/2006/relationships/hyperlink" Target="mailto:sys-b@email.com" TargetMode="External"/><Relationship Id="rId115" Type="http://schemas.openxmlformats.org/officeDocument/2006/relationships/hyperlink" Target="mailto:sys-b@email.com" TargetMode="External"/><Relationship Id="rId136" Type="http://schemas.openxmlformats.org/officeDocument/2006/relationships/hyperlink" Target="mailto:sys-b@email.com" TargetMode="External"/><Relationship Id="rId157" Type="http://schemas.openxmlformats.org/officeDocument/2006/relationships/hyperlink" Target="mailto:sys-b@email.com" TargetMode="External"/><Relationship Id="rId178" Type="http://schemas.openxmlformats.org/officeDocument/2006/relationships/hyperlink" Target="mailto:sys-b@email.com" TargetMode="External"/><Relationship Id="rId301" Type="http://schemas.openxmlformats.org/officeDocument/2006/relationships/hyperlink" Target="mailto:sys-b@email.com" TargetMode="External"/><Relationship Id="rId322" Type="http://schemas.openxmlformats.org/officeDocument/2006/relationships/hyperlink" Target="mailto:sys-b@email.com" TargetMode="External"/><Relationship Id="rId343" Type="http://schemas.openxmlformats.org/officeDocument/2006/relationships/hyperlink" Target="mailto:sys-b@email.com" TargetMode="External"/><Relationship Id="rId61" Type="http://schemas.openxmlformats.org/officeDocument/2006/relationships/hyperlink" Target="mailto:sys-b@email.com" TargetMode="External"/><Relationship Id="rId82" Type="http://schemas.openxmlformats.org/officeDocument/2006/relationships/hyperlink" Target="mailto:sys-b@email.com" TargetMode="External"/><Relationship Id="rId199" Type="http://schemas.openxmlformats.org/officeDocument/2006/relationships/hyperlink" Target="mailto:sys-b@email.com" TargetMode="External"/><Relationship Id="rId203" Type="http://schemas.openxmlformats.org/officeDocument/2006/relationships/hyperlink" Target="mailto:sys-b@email.com" TargetMode="External"/><Relationship Id="rId19" Type="http://schemas.openxmlformats.org/officeDocument/2006/relationships/hyperlink" Target="mailto:sys-b@email.com" TargetMode="External"/><Relationship Id="rId224" Type="http://schemas.openxmlformats.org/officeDocument/2006/relationships/hyperlink" Target="mailto:sys-b@email.com" TargetMode="External"/><Relationship Id="rId245" Type="http://schemas.openxmlformats.org/officeDocument/2006/relationships/hyperlink" Target="mailto:sys-b@email.com" TargetMode="External"/><Relationship Id="rId266" Type="http://schemas.openxmlformats.org/officeDocument/2006/relationships/hyperlink" Target="mailto:sys-b@email.com" TargetMode="External"/><Relationship Id="rId287" Type="http://schemas.openxmlformats.org/officeDocument/2006/relationships/hyperlink" Target="mailto:sys-b@email.com" TargetMode="External"/><Relationship Id="rId30" Type="http://schemas.openxmlformats.org/officeDocument/2006/relationships/hyperlink" Target="mailto:sys-b@email.com" TargetMode="External"/><Relationship Id="rId105" Type="http://schemas.openxmlformats.org/officeDocument/2006/relationships/hyperlink" Target="mailto:sys-b@email.com" TargetMode="External"/><Relationship Id="rId126" Type="http://schemas.openxmlformats.org/officeDocument/2006/relationships/hyperlink" Target="mailto:sys-b@email.com" TargetMode="External"/><Relationship Id="rId147" Type="http://schemas.openxmlformats.org/officeDocument/2006/relationships/hyperlink" Target="mailto:sys-b@email.com" TargetMode="External"/><Relationship Id="rId168" Type="http://schemas.openxmlformats.org/officeDocument/2006/relationships/hyperlink" Target="mailto:sys-b@email.com" TargetMode="External"/><Relationship Id="rId312" Type="http://schemas.openxmlformats.org/officeDocument/2006/relationships/hyperlink" Target="mailto:sys-b@email.com" TargetMode="External"/><Relationship Id="rId333" Type="http://schemas.openxmlformats.org/officeDocument/2006/relationships/hyperlink" Target="mailto:sys-b@email.com" TargetMode="External"/><Relationship Id="rId51" Type="http://schemas.openxmlformats.org/officeDocument/2006/relationships/hyperlink" Target="mailto:sys-b@email.com" TargetMode="External"/><Relationship Id="rId72" Type="http://schemas.openxmlformats.org/officeDocument/2006/relationships/hyperlink" Target="mailto:sys-b@email.com" TargetMode="External"/><Relationship Id="rId93" Type="http://schemas.openxmlformats.org/officeDocument/2006/relationships/hyperlink" Target="mailto:sys-b@email.com" TargetMode="External"/><Relationship Id="rId189" Type="http://schemas.openxmlformats.org/officeDocument/2006/relationships/hyperlink" Target="mailto:sys-b@email.com" TargetMode="External"/><Relationship Id="rId3" Type="http://schemas.openxmlformats.org/officeDocument/2006/relationships/hyperlink" Target="mailto:sys-b@email.com" TargetMode="External"/><Relationship Id="rId214" Type="http://schemas.openxmlformats.org/officeDocument/2006/relationships/hyperlink" Target="mailto:sys-b@email.com" TargetMode="External"/><Relationship Id="rId235" Type="http://schemas.openxmlformats.org/officeDocument/2006/relationships/hyperlink" Target="mailto:sys-b@email.com" TargetMode="External"/><Relationship Id="rId256" Type="http://schemas.openxmlformats.org/officeDocument/2006/relationships/hyperlink" Target="mailto:sys-b@email.com" TargetMode="External"/><Relationship Id="rId277" Type="http://schemas.openxmlformats.org/officeDocument/2006/relationships/hyperlink" Target="mailto:sys-b@email.com" TargetMode="External"/><Relationship Id="rId298" Type="http://schemas.openxmlformats.org/officeDocument/2006/relationships/hyperlink" Target="mailto:sys-b@email.com" TargetMode="External"/><Relationship Id="rId116" Type="http://schemas.openxmlformats.org/officeDocument/2006/relationships/hyperlink" Target="mailto:sys-b@email.com" TargetMode="External"/><Relationship Id="rId137" Type="http://schemas.openxmlformats.org/officeDocument/2006/relationships/hyperlink" Target="mailto:sys-b@email.com" TargetMode="External"/><Relationship Id="rId158" Type="http://schemas.openxmlformats.org/officeDocument/2006/relationships/hyperlink" Target="mailto:sys-b@email.com" TargetMode="External"/><Relationship Id="rId302" Type="http://schemas.openxmlformats.org/officeDocument/2006/relationships/hyperlink" Target="mailto:sys-b@email.com" TargetMode="External"/><Relationship Id="rId323" Type="http://schemas.openxmlformats.org/officeDocument/2006/relationships/hyperlink" Target="mailto:sys-b@email.com" TargetMode="External"/><Relationship Id="rId344" Type="http://schemas.openxmlformats.org/officeDocument/2006/relationships/hyperlink" Target="mailto:sys-b@email.com" TargetMode="External"/><Relationship Id="rId20" Type="http://schemas.openxmlformats.org/officeDocument/2006/relationships/hyperlink" Target="mailto:sys-b@email.com" TargetMode="External"/><Relationship Id="rId41" Type="http://schemas.openxmlformats.org/officeDocument/2006/relationships/hyperlink" Target="mailto:sys-b@email.com" TargetMode="External"/><Relationship Id="rId62" Type="http://schemas.openxmlformats.org/officeDocument/2006/relationships/hyperlink" Target="mailto:sys-b@email.com" TargetMode="External"/><Relationship Id="rId83" Type="http://schemas.openxmlformats.org/officeDocument/2006/relationships/hyperlink" Target="mailto:sys-b@email.com" TargetMode="External"/><Relationship Id="rId179" Type="http://schemas.openxmlformats.org/officeDocument/2006/relationships/hyperlink" Target="mailto:sys-b@email.com" TargetMode="External"/><Relationship Id="rId190" Type="http://schemas.openxmlformats.org/officeDocument/2006/relationships/hyperlink" Target="mailto:sys-b@email.com" TargetMode="External"/><Relationship Id="rId204" Type="http://schemas.openxmlformats.org/officeDocument/2006/relationships/hyperlink" Target="mailto:sys-b@email.com" TargetMode="External"/><Relationship Id="rId225" Type="http://schemas.openxmlformats.org/officeDocument/2006/relationships/hyperlink" Target="mailto:sys-b@email.com" TargetMode="External"/><Relationship Id="rId246" Type="http://schemas.openxmlformats.org/officeDocument/2006/relationships/hyperlink" Target="mailto:sys-b@email.com" TargetMode="External"/><Relationship Id="rId267" Type="http://schemas.openxmlformats.org/officeDocument/2006/relationships/hyperlink" Target="mailto:sys-b@email.com" TargetMode="External"/><Relationship Id="rId288" Type="http://schemas.openxmlformats.org/officeDocument/2006/relationships/hyperlink" Target="mailto:sys-b@email.com" TargetMode="External"/><Relationship Id="rId106" Type="http://schemas.openxmlformats.org/officeDocument/2006/relationships/hyperlink" Target="mailto:sys-b@email.com" TargetMode="External"/><Relationship Id="rId127" Type="http://schemas.openxmlformats.org/officeDocument/2006/relationships/hyperlink" Target="mailto:sys-b@email.com" TargetMode="External"/><Relationship Id="rId313" Type="http://schemas.openxmlformats.org/officeDocument/2006/relationships/hyperlink" Target="mailto:sys-b@email.com" TargetMode="External"/><Relationship Id="rId10" Type="http://schemas.openxmlformats.org/officeDocument/2006/relationships/hyperlink" Target="mailto:sys-b@email.com" TargetMode="External"/><Relationship Id="rId31" Type="http://schemas.openxmlformats.org/officeDocument/2006/relationships/hyperlink" Target="mailto:sys-b@email.com" TargetMode="External"/><Relationship Id="rId52" Type="http://schemas.openxmlformats.org/officeDocument/2006/relationships/hyperlink" Target="mailto:sys-b@email.com" TargetMode="External"/><Relationship Id="rId73" Type="http://schemas.openxmlformats.org/officeDocument/2006/relationships/hyperlink" Target="mailto:sys-b@email.com" TargetMode="External"/><Relationship Id="rId94" Type="http://schemas.openxmlformats.org/officeDocument/2006/relationships/hyperlink" Target="mailto:sys-b@email.com" TargetMode="External"/><Relationship Id="rId148" Type="http://schemas.openxmlformats.org/officeDocument/2006/relationships/hyperlink" Target="mailto:sys-b@email.com" TargetMode="External"/><Relationship Id="rId169" Type="http://schemas.openxmlformats.org/officeDocument/2006/relationships/hyperlink" Target="mailto:sys-b@email.com" TargetMode="External"/><Relationship Id="rId334" Type="http://schemas.openxmlformats.org/officeDocument/2006/relationships/hyperlink" Target="mailto:sys-b@email.com" TargetMode="External"/><Relationship Id="rId4" Type="http://schemas.openxmlformats.org/officeDocument/2006/relationships/hyperlink" Target="mailto:sys-b@email.com" TargetMode="External"/><Relationship Id="rId180" Type="http://schemas.openxmlformats.org/officeDocument/2006/relationships/hyperlink" Target="mailto:sys-b@email.com" TargetMode="External"/><Relationship Id="rId215" Type="http://schemas.openxmlformats.org/officeDocument/2006/relationships/hyperlink" Target="mailto:sys-b@email.com" TargetMode="External"/><Relationship Id="rId236" Type="http://schemas.openxmlformats.org/officeDocument/2006/relationships/hyperlink" Target="mailto:sys-b@email.com" TargetMode="External"/><Relationship Id="rId257" Type="http://schemas.openxmlformats.org/officeDocument/2006/relationships/hyperlink" Target="mailto:sys-b@email.com" TargetMode="External"/><Relationship Id="rId278" Type="http://schemas.openxmlformats.org/officeDocument/2006/relationships/hyperlink" Target="mailto:sys-b@email.com" TargetMode="External"/><Relationship Id="rId303" Type="http://schemas.openxmlformats.org/officeDocument/2006/relationships/hyperlink" Target="mailto:sys-b@email.com" TargetMode="External"/><Relationship Id="rId42" Type="http://schemas.openxmlformats.org/officeDocument/2006/relationships/hyperlink" Target="mailto:sys-b@email.com" TargetMode="External"/><Relationship Id="rId84" Type="http://schemas.openxmlformats.org/officeDocument/2006/relationships/hyperlink" Target="mailto:sys-b@email.com" TargetMode="External"/><Relationship Id="rId138" Type="http://schemas.openxmlformats.org/officeDocument/2006/relationships/hyperlink" Target="mailto:sys-b@email.com" TargetMode="External"/><Relationship Id="rId345" Type="http://schemas.openxmlformats.org/officeDocument/2006/relationships/drawing" Target="../drawings/drawing6.xml"/><Relationship Id="rId191" Type="http://schemas.openxmlformats.org/officeDocument/2006/relationships/hyperlink" Target="mailto:sys-b@email.com" TargetMode="External"/><Relationship Id="rId205" Type="http://schemas.openxmlformats.org/officeDocument/2006/relationships/hyperlink" Target="mailto:sys-b@email.com" TargetMode="External"/><Relationship Id="rId247" Type="http://schemas.openxmlformats.org/officeDocument/2006/relationships/hyperlink" Target="mailto:sys-b@email.com" TargetMode="External"/><Relationship Id="rId107" Type="http://schemas.openxmlformats.org/officeDocument/2006/relationships/hyperlink" Target="mailto:sys-b@email.com" TargetMode="External"/><Relationship Id="rId289" Type="http://schemas.openxmlformats.org/officeDocument/2006/relationships/hyperlink" Target="mailto:sys-b@email.com" TargetMode="External"/><Relationship Id="rId11" Type="http://schemas.openxmlformats.org/officeDocument/2006/relationships/hyperlink" Target="mailto:sys-b@email.com" TargetMode="External"/><Relationship Id="rId53" Type="http://schemas.openxmlformats.org/officeDocument/2006/relationships/hyperlink" Target="mailto:sys-b@email.com" TargetMode="External"/><Relationship Id="rId149" Type="http://schemas.openxmlformats.org/officeDocument/2006/relationships/hyperlink" Target="mailto:sys-b@email.com" TargetMode="External"/><Relationship Id="rId314" Type="http://schemas.openxmlformats.org/officeDocument/2006/relationships/hyperlink" Target="mailto:sys-b@email.com" TargetMode="External"/><Relationship Id="rId95" Type="http://schemas.openxmlformats.org/officeDocument/2006/relationships/hyperlink" Target="mailto:sys-b@email.com" TargetMode="External"/><Relationship Id="rId160" Type="http://schemas.openxmlformats.org/officeDocument/2006/relationships/hyperlink" Target="mailto:sys-b@email.com" TargetMode="External"/><Relationship Id="rId216" Type="http://schemas.openxmlformats.org/officeDocument/2006/relationships/hyperlink" Target="mailto:sys-b@email.com" TargetMode="External"/><Relationship Id="rId258" Type="http://schemas.openxmlformats.org/officeDocument/2006/relationships/hyperlink" Target="mailto:sys-b@email.com" TargetMode="External"/><Relationship Id="rId22" Type="http://schemas.openxmlformats.org/officeDocument/2006/relationships/hyperlink" Target="mailto:sys-b@email.com" TargetMode="External"/><Relationship Id="rId64" Type="http://schemas.openxmlformats.org/officeDocument/2006/relationships/hyperlink" Target="mailto:sys-b@email.com" TargetMode="External"/><Relationship Id="rId118" Type="http://schemas.openxmlformats.org/officeDocument/2006/relationships/hyperlink" Target="mailto:sys-b@email.com" TargetMode="External"/><Relationship Id="rId325" Type="http://schemas.openxmlformats.org/officeDocument/2006/relationships/hyperlink" Target="mailto:sys-b@email.com" TargetMode="External"/><Relationship Id="rId171" Type="http://schemas.openxmlformats.org/officeDocument/2006/relationships/hyperlink" Target="mailto:sys-b@email.com" TargetMode="External"/><Relationship Id="rId227" Type="http://schemas.openxmlformats.org/officeDocument/2006/relationships/hyperlink" Target="mailto:sys-b@email.com" TargetMode="External"/><Relationship Id="rId269" Type="http://schemas.openxmlformats.org/officeDocument/2006/relationships/hyperlink" Target="mailto:sys-b@email.com" TargetMode="External"/><Relationship Id="rId33" Type="http://schemas.openxmlformats.org/officeDocument/2006/relationships/hyperlink" Target="mailto:sys-b@email.com" TargetMode="External"/><Relationship Id="rId129" Type="http://schemas.openxmlformats.org/officeDocument/2006/relationships/hyperlink" Target="mailto:sys-b@email.com" TargetMode="External"/><Relationship Id="rId280" Type="http://schemas.openxmlformats.org/officeDocument/2006/relationships/hyperlink" Target="mailto:sys-b@email.com" TargetMode="External"/><Relationship Id="rId336" Type="http://schemas.openxmlformats.org/officeDocument/2006/relationships/hyperlink" Target="mailto:sys-b@email.com" TargetMode="External"/><Relationship Id="rId75" Type="http://schemas.openxmlformats.org/officeDocument/2006/relationships/hyperlink" Target="mailto:sys-b@email.com" TargetMode="External"/><Relationship Id="rId140" Type="http://schemas.openxmlformats.org/officeDocument/2006/relationships/hyperlink" Target="mailto:sys-b@email.com" TargetMode="External"/><Relationship Id="rId182" Type="http://schemas.openxmlformats.org/officeDocument/2006/relationships/hyperlink" Target="mailto:sys-b@email.com" TargetMode="External"/><Relationship Id="rId6" Type="http://schemas.openxmlformats.org/officeDocument/2006/relationships/hyperlink" Target="mailto:sys-b@email.com" TargetMode="External"/><Relationship Id="rId238" Type="http://schemas.openxmlformats.org/officeDocument/2006/relationships/hyperlink" Target="mailto:sys-b@email.com" TargetMode="External"/><Relationship Id="rId291" Type="http://schemas.openxmlformats.org/officeDocument/2006/relationships/hyperlink" Target="mailto:sys-b@email.com" TargetMode="External"/><Relationship Id="rId305" Type="http://schemas.openxmlformats.org/officeDocument/2006/relationships/hyperlink" Target="mailto:sys-b@email.com" TargetMode="External"/><Relationship Id="rId44" Type="http://schemas.openxmlformats.org/officeDocument/2006/relationships/hyperlink" Target="mailto:sys-b@email.com" TargetMode="External"/><Relationship Id="rId86" Type="http://schemas.openxmlformats.org/officeDocument/2006/relationships/hyperlink" Target="mailto:sys-b@email.com" TargetMode="External"/><Relationship Id="rId151" Type="http://schemas.openxmlformats.org/officeDocument/2006/relationships/hyperlink" Target="mailto:sys-b@email.com" TargetMode="External"/><Relationship Id="rId193" Type="http://schemas.openxmlformats.org/officeDocument/2006/relationships/hyperlink" Target="mailto:sys-b@email.com" TargetMode="External"/><Relationship Id="rId207" Type="http://schemas.openxmlformats.org/officeDocument/2006/relationships/hyperlink" Target="mailto:sys-b@email.com" TargetMode="External"/><Relationship Id="rId249" Type="http://schemas.openxmlformats.org/officeDocument/2006/relationships/hyperlink" Target="mailto:sys-b@email.com" TargetMode="External"/><Relationship Id="rId13" Type="http://schemas.openxmlformats.org/officeDocument/2006/relationships/hyperlink" Target="mailto:sys-b@email.com" TargetMode="External"/><Relationship Id="rId109" Type="http://schemas.openxmlformats.org/officeDocument/2006/relationships/hyperlink" Target="mailto:sys-b@email.com" TargetMode="External"/><Relationship Id="rId260" Type="http://schemas.openxmlformats.org/officeDocument/2006/relationships/hyperlink" Target="mailto:sys-b@email.com" TargetMode="External"/><Relationship Id="rId316" Type="http://schemas.openxmlformats.org/officeDocument/2006/relationships/hyperlink" Target="mailto:sys-b@email.com" TargetMode="External"/><Relationship Id="rId55" Type="http://schemas.openxmlformats.org/officeDocument/2006/relationships/hyperlink" Target="mailto:sys-b@email.com" TargetMode="External"/><Relationship Id="rId97" Type="http://schemas.openxmlformats.org/officeDocument/2006/relationships/hyperlink" Target="mailto:sys-b@email.com" TargetMode="External"/><Relationship Id="rId120" Type="http://schemas.openxmlformats.org/officeDocument/2006/relationships/hyperlink" Target="mailto:sys-b@email.com" TargetMode="External"/><Relationship Id="rId162" Type="http://schemas.openxmlformats.org/officeDocument/2006/relationships/hyperlink" Target="mailto:sys-b@email.com" TargetMode="External"/><Relationship Id="rId218" Type="http://schemas.openxmlformats.org/officeDocument/2006/relationships/hyperlink" Target="mailto:sys-b@email.com" TargetMode="External"/><Relationship Id="rId271" Type="http://schemas.openxmlformats.org/officeDocument/2006/relationships/hyperlink" Target="mailto:sys-b@email.com" TargetMode="External"/><Relationship Id="rId24" Type="http://schemas.openxmlformats.org/officeDocument/2006/relationships/hyperlink" Target="mailto:sys-b@email.com" TargetMode="External"/><Relationship Id="rId66" Type="http://schemas.openxmlformats.org/officeDocument/2006/relationships/hyperlink" Target="mailto:sys-b@email.com" TargetMode="External"/><Relationship Id="rId131" Type="http://schemas.openxmlformats.org/officeDocument/2006/relationships/hyperlink" Target="mailto:sys-b@email.com" TargetMode="External"/><Relationship Id="rId327" Type="http://schemas.openxmlformats.org/officeDocument/2006/relationships/hyperlink" Target="mailto:sys-b@email.com" TargetMode="External"/><Relationship Id="rId173" Type="http://schemas.openxmlformats.org/officeDocument/2006/relationships/hyperlink" Target="mailto:sys-b@email.com" TargetMode="External"/><Relationship Id="rId229" Type="http://schemas.openxmlformats.org/officeDocument/2006/relationships/hyperlink" Target="mailto:sys-b@email.com" TargetMode="External"/><Relationship Id="rId240" Type="http://schemas.openxmlformats.org/officeDocument/2006/relationships/hyperlink" Target="mailto:sys-b@email.com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mailto:sys-b@email.com" TargetMode="External"/><Relationship Id="rId18" Type="http://schemas.openxmlformats.org/officeDocument/2006/relationships/hyperlink" Target="mailto:sys-b@email.com" TargetMode="External"/><Relationship Id="rId26" Type="http://schemas.openxmlformats.org/officeDocument/2006/relationships/hyperlink" Target="mailto:sys-b@email.com" TargetMode="External"/><Relationship Id="rId21" Type="http://schemas.openxmlformats.org/officeDocument/2006/relationships/hyperlink" Target="mailto:sys-b@email.com" TargetMode="External"/><Relationship Id="rId34" Type="http://schemas.openxmlformats.org/officeDocument/2006/relationships/hyperlink" Target="mailto:sys-b@email.com" TargetMode="External"/><Relationship Id="rId7" Type="http://schemas.openxmlformats.org/officeDocument/2006/relationships/hyperlink" Target="mailto:sys-k@email.com" TargetMode="External"/><Relationship Id="rId12" Type="http://schemas.openxmlformats.org/officeDocument/2006/relationships/hyperlink" Target="mailto:sys-l@email.com" TargetMode="External"/><Relationship Id="rId17" Type="http://schemas.openxmlformats.org/officeDocument/2006/relationships/hyperlink" Target="mailto:sys-b@email.com" TargetMode="External"/><Relationship Id="rId25" Type="http://schemas.openxmlformats.org/officeDocument/2006/relationships/hyperlink" Target="mailto:sys-b@email.com" TargetMode="External"/><Relationship Id="rId33" Type="http://schemas.openxmlformats.org/officeDocument/2006/relationships/hyperlink" Target="mailto:sys-b@email.com" TargetMode="External"/><Relationship Id="rId38" Type="http://schemas.openxmlformats.org/officeDocument/2006/relationships/vmlDrawing" Target="../drawings/vmlDrawing8.vml"/><Relationship Id="rId2" Type="http://schemas.openxmlformats.org/officeDocument/2006/relationships/hyperlink" Target="mailto:sys-b@email.com" TargetMode="External"/><Relationship Id="rId16" Type="http://schemas.openxmlformats.org/officeDocument/2006/relationships/hyperlink" Target="mailto:sys-b@email.com" TargetMode="External"/><Relationship Id="rId20" Type="http://schemas.openxmlformats.org/officeDocument/2006/relationships/hyperlink" Target="mailto:sys-b@email.com" TargetMode="External"/><Relationship Id="rId29" Type="http://schemas.openxmlformats.org/officeDocument/2006/relationships/hyperlink" Target="mailto:sys-b@email.com" TargetMode="External"/><Relationship Id="rId1" Type="http://schemas.openxmlformats.org/officeDocument/2006/relationships/hyperlink" Target="mailto:sys-a@email.com" TargetMode="External"/><Relationship Id="rId6" Type="http://schemas.openxmlformats.org/officeDocument/2006/relationships/hyperlink" Target="mailto:sys-i@email.com" TargetMode="External"/><Relationship Id="rId11" Type="http://schemas.openxmlformats.org/officeDocument/2006/relationships/hyperlink" Target="mailto:sys-j@email.com" TargetMode="External"/><Relationship Id="rId24" Type="http://schemas.openxmlformats.org/officeDocument/2006/relationships/hyperlink" Target="mailto:sys-b@email.com" TargetMode="External"/><Relationship Id="rId32" Type="http://schemas.openxmlformats.org/officeDocument/2006/relationships/hyperlink" Target="mailto:sys-b@email.com" TargetMode="External"/><Relationship Id="rId37" Type="http://schemas.openxmlformats.org/officeDocument/2006/relationships/drawing" Target="../drawings/drawing7.xml"/><Relationship Id="rId5" Type="http://schemas.openxmlformats.org/officeDocument/2006/relationships/hyperlink" Target="mailto:sys-g@email.com" TargetMode="External"/><Relationship Id="rId15" Type="http://schemas.openxmlformats.org/officeDocument/2006/relationships/hyperlink" Target="mailto:sys-b@email.com" TargetMode="External"/><Relationship Id="rId23" Type="http://schemas.openxmlformats.org/officeDocument/2006/relationships/hyperlink" Target="mailto:sys-b@email.com" TargetMode="External"/><Relationship Id="rId28" Type="http://schemas.openxmlformats.org/officeDocument/2006/relationships/hyperlink" Target="mailto:sys-b@email.com" TargetMode="External"/><Relationship Id="rId36" Type="http://schemas.openxmlformats.org/officeDocument/2006/relationships/hyperlink" Target="mailto:sys-b@email.com" TargetMode="External"/><Relationship Id="rId10" Type="http://schemas.openxmlformats.org/officeDocument/2006/relationships/hyperlink" Target="mailto:sys-h@email.com" TargetMode="External"/><Relationship Id="rId19" Type="http://schemas.openxmlformats.org/officeDocument/2006/relationships/hyperlink" Target="mailto:sys-b@email.com" TargetMode="External"/><Relationship Id="rId31" Type="http://schemas.openxmlformats.org/officeDocument/2006/relationships/hyperlink" Target="mailto:sys-b@email.com" TargetMode="External"/><Relationship Id="rId4" Type="http://schemas.openxmlformats.org/officeDocument/2006/relationships/hyperlink" Target="mailto:sys-e@email.com" TargetMode="External"/><Relationship Id="rId9" Type="http://schemas.openxmlformats.org/officeDocument/2006/relationships/hyperlink" Target="mailto:sys-f@email.com" TargetMode="External"/><Relationship Id="rId14" Type="http://schemas.openxmlformats.org/officeDocument/2006/relationships/hyperlink" Target="mailto:sys-b@email.com" TargetMode="External"/><Relationship Id="rId22" Type="http://schemas.openxmlformats.org/officeDocument/2006/relationships/hyperlink" Target="mailto:sys-b@email.com" TargetMode="External"/><Relationship Id="rId27" Type="http://schemas.openxmlformats.org/officeDocument/2006/relationships/hyperlink" Target="mailto:sys-b@email.com" TargetMode="External"/><Relationship Id="rId30" Type="http://schemas.openxmlformats.org/officeDocument/2006/relationships/hyperlink" Target="mailto:sys-b@email.com" TargetMode="External"/><Relationship Id="rId35" Type="http://schemas.openxmlformats.org/officeDocument/2006/relationships/hyperlink" Target="mailto:sys-b@email.com" TargetMode="External"/><Relationship Id="rId8" Type="http://schemas.openxmlformats.org/officeDocument/2006/relationships/hyperlink" Target="mailto:sys-d@email.com" TargetMode="External"/><Relationship Id="rId3" Type="http://schemas.openxmlformats.org/officeDocument/2006/relationships/hyperlink" Target="mailto:sys-c@email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mailto:sys-b@email.com" TargetMode="External"/><Relationship Id="rId1" Type="http://schemas.openxmlformats.org/officeDocument/2006/relationships/hyperlink" Target="mailto:sys-b@email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mailto:sys-b@email.com" TargetMode="External"/><Relationship Id="rId1" Type="http://schemas.openxmlformats.org/officeDocument/2006/relationships/hyperlink" Target="mailto:sys-b@email.com" TargetMode="External"/><Relationship Id="rId4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mailto:aaa@email.com" TargetMode="External"/><Relationship Id="rId1" Type="http://schemas.openxmlformats.org/officeDocument/2006/relationships/hyperlink" Target="mailto:aaa@email.com" TargetMode="External"/><Relationship Id="rId4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mailto:aaa@email.com" TargetMode="External"/><Relationship Id="rId1" Type="http://schemas.openxmlformats.org/officeDocument/2006/relationships/hyperlink" Target="mailto:aaa@email.com" TargetMode="External"/><Relationship Id="rId4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hyperlink" Target="mailto:aaa@email.com" TargetMode="External"/><Relationship Id="rId1" Type="http://schemas.openxmlformats.org/officeDocument/2006/relationships/hyperlink" Target="mailto:aaa@email.com" TargetMode="External"/><Relationship Id="rId4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hyperlink" Target="mailto:aaa@email.com" TargetMode="External"/><Relationship Id="rId1" Type="http://schemas.openxmlformats.org/officeDocument/2006/relationships/hyperlink" Target="mailto:aaa@email.com" TargetMode="External"/><Relationship Id="rId4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hyperlink" Target="mailto:aaa@email.com" TargetMode="External"/><Relationship Id="rId1" Type="http://schemas.openxmlformats.org/officeDocument/2006/relationships/hyperlink" Target="mailto:aaa@email.com" TargetMode="External"/><Relationship Id="rId4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hyperlink" Target="mailto:aaa@email.com" TargetMode="External"/><Relationship Id="rId1" Type="http://schemas.openxmlformats.org/officeDocument/2006/relationships/hyperlink" Target="mailto:aaa@email.com" TargetMode="External"/><Relationship Id="rId4" Type="http://schemas.openxmlformats.org/officeDocument/2006/relationships/vmlDrawing" Target="../drawings/vmlDrawing15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hyperlink" Target="mailto:aaa@email.com" TargetMode="External"/><Relationship Id="rId1" Type="http://schemas.openxmlformats.org/officeDocument/2006/relationships/hyperlink" Target="mailto:aaa@email.com" TargetMode="External"/><Relationship Id="rId4" Type="http://schemas.openxmlformats.org/officeDocument/2006/relationships/vmlDrawing" Target="../drawings/vmlDrawing16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mailto:aaa@email.com" TargetMode="External"/><Relationship Id="rId1" Type="http://schemas.openxmlformats.org/officeDocument/2006/relationships/hyperlink" Target="mailto:aaa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FE3C1-0004-4301-A2EE-9B582BBAEEC0}">
  <sheetPr codeName="Sheet3"/>
  <dimension ref="A5:D21"/>
  <sheetViews>
    <sheetView showGridLines="0" zoomScaleNormal="100" workbookViewId="0">
      <selection activeCell="D9" sqref="D9"/>
    </sheetView>
  </sheetViews>
  <sheetFormatPr defaultColWidth="9" defaultRowHeight="17.45"/>
  <cols>
    <col min="1" max="1" width="8.25" style="4" bestFit="1" customWidth="1"/>
    <col min="2" max="2" width="17.75" style="4" customWidth="1"/>
    <col min="3" max="3" width="27.625" style="4" customWidth="1"/>
    <col min="4" max="4" width="99.125" style="4" customWidth="1"/>
    <col min="5" max="16384" width="9" style="4"/>
  </cols>
  <sheetData>
    <row r="5" spans="1:4">
      <c r="A5" s="65" t="s">
        <v>0</v>
      </c>
      <c r="B5" s="65"/>
      <c r="C5" s="65"/>
      <c r="D5" s="65"/>
    </row>
    <row r="7" spans="1:4" ht="18" thickBot="1">
      <c r="A7" s="5" t="s">
        <v>1</v>
      </c>
      <c r="B7" s="6" t="s">
        <v>2</v>
      </c>
      <c r="C7" s="6" t="s">
        <v>3</v>
      </c>
      <c r="D7" s="7" t="s">
        <v>4</v>
      </c>
    </row>
    <row r="8" spans="1:4" ht="18" thickTop="1">
      <c r="A8" s="8">
        <v>1</v>
      </c>
      <c r="B8" s="9">
        <v>45831</v>
      </c>
      <c r="C8" s="10" t="s">
        <v>5</v>
      </c>
      <c r="D8" s="11" t="s">
        <v>6</v>
      </c>
    </row>
    <row r="9" spans="1:4">
      <c r="A9" s="8"/>
      <c r="B9" s="35"/>
      <c r="C9" s="10"/>
      <c r="D9" s="28"/>
    </row>
    <row r="10" spans="1:4">
      <c r="A10" s="8"/>
      <c r="B10" s="35"/>
      <c r="C10" s="10"/>
      <c r="D10" s="29"/>
    </row>
    <row r="11" spans="1:4">
      <c r="A11" s="8"/>
      <c r="B11" s="35"/>
      <c r="C11" s="36"/>
      <c r="D11" s="28"/>
    </row>
    <row r="12" spans="1:4">
      <c r="A12" s="8"/>
      <c r="B12" s="35"/>
      <c r="C12" s="36"/>
      <c r="D12" s="28"/>
    </row>
    <row r="13" spans="1:4">
      <c r="A13" s="8"/>
      <c r="B13" s="35"/>
      <c r="C13" s="36"/>
      <c r="D13" s="28"/>
    </row>
    <row r="14" spans="1:4">
      <c r="A14" s="8"/>
      <c r="B14" s="35"/>
      <c r="C14" s="36"/>
      <c r="D14" s="28"/>
    </row>
    <row r="15" spans="1:4">
      <c r="A15" s="8"/>
      <c r="B15" s="35"/>
      <c r="C15" s="36"/>
      <c r="D15" s="28"/>
    </row>
    <row r="16" spans="1:4">
      <c r="A16" s="8"/>
      <c r="B16" s="35"/>
      <c r="C16" s="36"/>
      <c r="D16" s="28"/>
    </row>
    <row r="17" spans="1:4">
      <c r="A17" s="8"/>
      <c r="B17" s="35"/>
      <c r="C17" s="36"/>
      <c r="D17" s="28"/>
    </row>
    <row r="18" spans="1:4">
      <c r="A18" s="8"/>
      <c r="B18" s="35"/>
      <c r="C18" s="36"/>
      <c r="D18" s="28"/>
    </row>
    <row r="19" spans="1:4">
      <c r="A19" s="8"/>
      <c r="B19" s="35"/>
      <c r="C19" s="36"/>
      <c r="D19" s="28"/>
    </row>
    <row r="20" spans="1:4">
      <c r="A20" s="8"/>
      <c r="B20" s="35"/>
      <c r="C20" s="36"/>
      <c r="D20" s="28"/>
    </row>
    <row r="21" spans="1:4">
      <c r="A21" s="12"/>
      <c r="B21" s="54"/>
      <c r="C21" s="55"/>
      <c r="D21" s="56"/>
    </row>
  </sheetData>
  <mergeCells count="1">
    <mergeCell ref="A5:D5"/>
  </mergeCells>
  <phoneticPr fontId="5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994BA-6528-4214-8F10-70383CD35F5A}">
  <sheetPr codeName="Sheet4"/>
  <dimension ref="A1:G4"/>
  <sheetViews>
    <sheetView showGridLines="0" zoomScaleNormal="100" workbookViewId="0">
      <selection activeCell="A4" sqref="A4"/>
    </sheetView>
  </sheetViews>
  <sheetFormatPr defaultColWidth="9" defaultRowHeight="17.45"/>
  <cols>
    <col min="1" max="1" width="6.625" style="1" customWidth="1"/>
    <col min="2" max="2" width="30.625" style="1" customWidth="1"/>
    <col min="3" max="4" width="25.625" style="1" customWidth="1"/>
    <col min="5" max="5" width="6.625" style="1" customWidth="1"/>
    <col min="6" max="7" width="15.625" style="1" customWidth="1"/>
    <col min="8" max="16384" width="9" style="1"/>
  </cols>
  <sheetData>
    <row r="1" spans="1:7">
      <c r="A1" s="62" t="s">
        <v>7</v>
      </c>
      <c r="B1" s="63" t="s">
        <v>8</v>
      </c>
      <c r="C1" s="13" t="s">
        <v>9</v>
      </c>
      <c r="D1" s="13" t="s">
        <v>10</v>
      </c>
      <c r="E1" s="13" t="s">
        <v>11</v>
      </c>
      <c r="F1" s="13" t="s">
        <v>12</v>
      </c>
      <c r="G1" s="14" t="s">
        <v>13</v>
      </c>
    </row>
    <row r="2" spans="1:7">
      <c r="A2" s="66"/>
      <c r="B2" s="67"/>
      <c r="C2" s="68" t="s">
        <v>14</v>
      </c>
      <c r="D2" s="69" t="s">
        <v>15</v>
      </c>
      <c r="E2" s="70" t="s">
        <v>16</v>
      </c>
      <c r="F2" s="71">
        <f>改訂履歴!B8</f>
        <v>45831</v>
      </c>
      <c r="G2" s="72" t="str">
        <f>改訂履歴!C8</f>
        <v>平澤　栞菜</v>
      </c>
    </row>
    <row r="3" spans="1:7" ht="18" thickBot="1">
      <c r="A3" s="73"/>
      <c r="B3" s="64"/>
      <c r="C3" s="60"/>
      <c r="D3" s="61"/>
      <c r="E3" s="57" t="str">
        <f>IF(MAX(改訂履歴[版],0),MAX(改訂履歴[版],0))&amp;"版"</f>
        <v>1版</v>
      </c>
      <c r="F3" s="58" t="str">
        <f>IF(MAX(改訂履歴[版])&gt;1,INDEX(改訂履歴[版]:改訂履歴[更新者], MATCH(MAX(改訂履歴[版]),改訂履歴[版],0), 2),"")</f>
        <v/>
      </c>
      <c r="G3" s="59" t="str">
        <f>IF(MAX(改訂履歴[版])&gt;1,INDEX(改訂履歴[版]:改訂履歴[更新者], MATCH(MAX(改訂履歴[版]), 改訂履歴[版],0), 3),"")</f>
        <v/>
      </c>
    </row>
    <row r="4" spans="1:7">
      <c r="A4" s="2"/>
      <c r="B4" s="2"/>
      <c r="C4" s="3"/>
      <c r="D4" s="3"/>
      <c r="E4" s="3"/>
      <c r="F4" s="3"/>
      <c r="G4" s="3"/>
    </row>
  </sheetData>
  <mergeCells count="4">
    <mergeCell ref="C2:C3"/>
    <mergeCell ref="D2:D3"/>
    <mergeCell ref="A1:A3"/>
    <mergeCell ref="B1:B3"/>
  </mergeCells>
  <phoneticPr fontId="3"/>
  <pageMargins left="0.39370078740157483" right="0.39370078740157483" top="0.59055118110236227" bottom="0.19685039370078741" header="0.11811023622047245" footer="0.11811023622047245"/>
  <pageSetup paperSize="9" scale="95" orientation="landscape" r:id="rId1"/>
  <headerFooter alignWithMargins="0">
    <oddHeader>&amp;L出力日：&amp;D</oddHeader>
    <oddFooter>&amp;C&amp;P&amp;[/&amp;N&amp;RCopyright© 2011 Edison Corp.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DC5F2-B9B5-4032-BDA5-BB0D0E1E04AF}">
  <sheetPr codeName="Sheet5"/>
  <dimension ref="A1:B4"/>
  <sheetViews>
    <sheetView workbookViewId="0"/>
  </sheetViews>
  <sheetFormatPr defaultRowHeight="18"/>
  <sheetData>
    <row r="1" spans="1:2">
      <c r="A1" t="s">
        <v>17</v>
      </c>
      <c r="B1" t="s">
        <v>18</v>
      </c>
    </row>
    <row r="2" spans="1:2">
      <c r="A2" t="s">
        <v>19</v>
      </c>
      <c r="B2" t="s">
        <v>20</v>
      </c>
    </row>
    <row r="3" spans="1:2">
      <c r="B3" t="s">
        <v>21</v>
      </c>
    </row>
    <row r="4" spans="1:2">
      <c r="B4" t="s">
        <v>22</v>
      </c>
    </row>
  </sheetData>
  <phoneticPr fontId="5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58D76-53C8-4210-B587-18C929A92246}">
  <sheetPr codeName="Sheet1"/>
  <dimension ref="A1:C53"/>
  <sheetViews>
    <sheetView tabSelected="1" topLeftCell="A31" workbookViewId="0">
      <selection activeCell="A50" sqref="A50"/>
    </sheetView>
  </sheetViews>
  <sheetFormatPr defaultRowHeight="18"/>
  <cols>
    <col min="1" max="1" width="19.125" customWidth="1"/>
    <col min="2" max="2" width="28" customWidth="1"/>
    <col min="3" max="3" width="30.875" customWidth="1"/>
  </cols>
  <sheetData>
    <row r="1" spans="1:2" ht="35.1">
      <c r="A1" s="46" t="s">
        <v>23</v>
      </c>
    </row>
    <row r="2" spans="1:2">
      <c r="A2" t="s">
        <v>24</v>
      </c>
    </row>
    <row r="3" spans="1:2">
      <c r="A3" t="s">
        <v>25</v>
      </c>
    </row>
    <row r="6" spans="1:2">
      <c r="A6" s="47" t="s">
        <v>26</v>
      </c>
    </row>
    <row r="8" spans="1:2" ht="20.100000000000001">
      <c r="A8" s="48" t="s">
        <v>27</v>
      </c>
    </row>
    <row r="9" spans="1:2">
      <c r="A9" t="s">
        <v>28</v>
      </c>
    </row>
    <row r="11" spans="1:2" ht="20.100000000000001">
      <c r="A11" s="48" t="s">
        <v>29</v>
      </c>
    </row>
    <row r="13" spans="1:2">
      <c r="A13" s="53" t="s">
        <v>30</v>
      </c>
      <c r="B13" s="53" t="s">
        <v>31</v>
      </c>
    </row>
    <row r="14" spans="1:2" ht="36">
      <c r="A14" s="51" t="s">
        <v>32</v>
      </c>
      <c r="B14" s="52" t="s">
        <v>33</v>
      </c>
    </row>
    <row r="15" spans="1:2" ht="36">
      <c r="A15" s="51" t="s">
        <v>34</v>
      </c>
      <c r="B15" s="52" t="s">
        <v>35</v>
      </c>
    </row>
    <row r="16" spans="1:2">
      <c r="A16" s="51" t="s">
        <v>36</v>
      </c>
      <c r="B16" s="52" t="s">
        <v>37</v>
      </c>
    </row>
    <row r="19" spans="1:3" ht="20.100000000000001">
      <c r="A19" s="48" t="s">
        <v>38</v>
      </c>
    </row>
    <row r="20" spans="1:3">
      <c r="A20" s="53" t="s">
        <v>39</v>
      </c>
      <c r="B20" s="53" t="s">
        <v>40</v>
      </c>
      <c r="C20" s="53" t="s">
        <v>41</v>
      </c>
    </row>
    <row r="21" spans="1:3">
      <c r="A21" s="51" t="s">
        <v>42</v>
      </c>
      <c r="B21" s="51" t="s">
        <v>43</v>
      </c>
      <c r="C21" s="52" t="s">
        <v>44</v>
      </c>
    </row>
    <row r="22" spans="1:3" ht="36">
      <c r="A22" s="52" t="s">
        <v>45</v>
      </c>
      <c r="B22" s="51" t="s">
        <v>46</v>
      </c>
      <c r="C22" s="52" t="s">
        <v>47</v>
      </c>
    </row>
    <row r="23" spans="1:3" ht="36">
      <c r="A23" s="51" t="s">
        <v>48</v>
      </c>
      <c r="B23" s="51" t="s">
        <v>49</v>
      </c>
      <c r="C23" s="52" t="s">
        <v>50</v>
      </c>
    </row>
    <row r="26" spans="1:3" ht="20.100000000000001">
      <c r="A26" s="48" t="s">
        <v>51</v>
      </c>
    </row>
    <row r="27" spans="1:3">
      <c r="A27" s="49" t="s">
        <v>52</v>
      </c>
    </row>
    <row r="28" spans="1:3">
      <c r="A28" s="49" t="s">
        <v>53</v>
      </c>
    </row>
    <row r="29" spans="1:3">
      <c r="A29" s="49" t="s">
        <v>54</v>
      </c>
    </row>
    <row r="30" spans="1:3">
      <c r="A30" s="49" t="s">
        <v>55</v>
      </c>
    </row>
    <row r="33" spans="1:1" ht="20.100000000000001">
      <c r="A33" s="48" t="s">
        <v>56</v>
      </c>
    </row>
    <row r="34" spans="1:1">
      <c r="A34" s="50" t="s">
        <v>57</v>
      </c>
    </row>
    <row r="35" spans="1:1">
      <c r="A35" s="50" t="s">
        <v>58</v>
      </c>
    </row>
    <row r="39" spans="1:1" ht="20.100000000000001">
      <c r="A39" s="48" t="s">
        <v>59</v>
      </c>
    </row>
    <row r="40" spans="1:1">
      <c r="A40" s="49" t="s">
        <v>60</v>
      </c>
    </row>
    <row r="41" spans="1:1">
      <c r="A41" s="49" t="s">
        <v>61</v>
      </c>
    </row>
    <row r="45" spans="1:1" ht="20.100000000000001">
      <c r="A45" s="48" t="s">
        <v>62</v>
      </c>
    </row>
    <row r="46" spans="1:1">
      <c r="A46" s="50" t="s">
        <v>63</v>
      </c>
    </row>
    <row r="47" spans="1:1">
      <c r="A47" s="49" t="s">
        <v>64</v>
      </c>
    </row>
    <row r="48" spans="1:1">
      <c r="A48" s="49" t="s">
        <v>65</v>
      </c>
    </row>
    <row r="52" spans="1:1" ht="20.100000000000001">
      <c r="A52" s="48" t="s">
        <v>66</v>
      </c>
    </row>
    <row r="53" spans="1:1">
      <c r="A53" s="49" t="s">
        <v>67</v>
      </c>
    </row>
  </sheetData>
  <phoneticPr fontId="5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Insert出力_選択シート用">
                <anchor moveWithCells="1" sizeWithCells="1">
                  <from>
                    <xdr:col>2</xdr:col>
                    <xdr:colOff>679450</xdr:colOff>
                    <xdr:row>1</xdr:row>
                    <xdr:rowOff>31750</xdr:rowOff>
                  </from>
                  <to>
                    <xdr:col>5</xdr:col>
                    <xdr:colOff>76200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D34AB-5B02-444A-8345-196E10914BF3}">
  <sheetPr codeName="Sheet6">
    <tabColor theme="9" tint="0.59999389629810485"/>
  </sheetPr>
  <dimension ref="A1:J92"/>
  <sheetViews>
    <sheetView zoomScale="145" zoomScaleNormal="145" workbookViewId="0">
      <selection activeCell="A4" sqref="A4:B4"/>
    </sheetView>
  </sheetViews>
  <sheetFormatPr defaultRowHeight="18"/>
  <cols>
    <col min="1" max="1" width="13.625" customWidth="1"/>
    <col min="2" max="3" width="26.875" customWidth="1"/>
    <col min="4" max="4" width="29.125" customWidth="1"/>
    <col min="6" max="6" width="21.625" customWidth="1"/>
    <col min="7" max="7" width="24.875" customWidth="1"/>
    <col min="9" max="9" width="19.5" customWidth="1"/>
  </cols>
  <sheetData>
    <row r="1" spans="1:10">
      <c r="A1" t="s">
        <v>68</v>
      </c>
    </row>
    <row r="4" spans="1:10">
      <c r="A4" s="44" t="s">
        <v>69</v>
      </c>
      <c r="B4" s="44" t="s">
        <v>70</v>
      </c>
    </row>
    <row r="6" spans="1:10">
      <c r="A6" s="15" t="s">
        <v>71</v>
      </c>
      <c r="B6" s="15" t="s">
        <v>72</v>
      </c>
      <c r="C6" s="15" t="s">
        <v>73</v>
      </c>
      <c r="D6" s="15" t="s">
        <v>74</v>
      </c>
      <c r="E6" s="15" t="s">
        <v>75</v>
      </c>
      <c r="F6" s="15" t="s">
        <v>76</v>
      </c>
      <c r="G6" s="15" t="s">
        <v>77</v>
      </c>
      <c r="H6" s="15" t="s">
        <v>78</v>
      </c>
      <c r="I6" s="15" t="s">
        <v>79</v>
      </c>
      <c r="J6" s="15" t="s">
        <v>80</v>
      </c>
    </row>
    <row r="7" spans="1:10">
      <c r="A7" s="44" t="s">
        <v>81</v>
      </c>
      <c r="B7" s="44" t="s">
        <v>82</v>
      </c>
      <c r="C7" s="44" t="s">
        <v>83</v>
      </c>
      <c r="D7" s="44" t="s">
        <v>84</v>
      </c>
      <c r="E7" s="44" t="s">
        <v>85</v>
      </c>
      <c r="F7" s="44" t="s">
        <v>86</v>
      </c>
      <c r="G7" s="44" t="s">
        <v>87</v>
      </c>
      <c r="H7" s="44" t="s">
        <v>88</v>
      </c>
      <c r="I7" s="44" t="s">
        <v>89</v>
      </c>
      <c r="J7" s="44" t="s">
        <v>90</v>
      </c>
    </row>
    <row r="8" spans="1:10">
      <c r="A8" s="31">
        <v>1</v>
      </c>
      <c r="B8" s="45" t="s">
        <v>91</v>
      </c>
      <c r="C8" s="31">
        <v>5</v>
      </c>
      <c r="D8" s="31" t="s">
        <v>92</v>
      </c>
      <c r="E8" s="31">
        <v>0</v>
      </c>
      <c r="F8" s="37" t="s">
        <v>93</v>
      </c>
      <c r="G8" s="37" t="s">
        <v>94</v>
      </c>
      <c r="H8" s="31"/>
      <c r="I8" s="37" t="s">
        <v>94</v>
      </c>
      <c r="J8" s="31"/>
    </row>
    <row r="9" spans="1:10">
      <c r="A9" s="31">
        <v>1</v>
      </c>
      <c r="B9" s="45" t="s">
        <v>95</v>
      </c>
      <c r="C9" s="31">
        <v>5</v>
      </c>
      <c r="D9" s="31" t="s">
        <v>92</v>
      </c>
      <c r="E9" s="31">
        <v>0</v>
      </c>
      <c r="F9" s="37" t="s">
        <v>93</v>
      </c>
      <c r="G9" s="37" t="s">
        <v>94</v>
      </c>
      <c r="H9" s="31"/>
      <c r="I9" s="37" t="s">
        <v>94</v>
      </c>
      <c r="J9" s="31"/>
    </row>
    <row r="10" spans="1:10">
      <c r="A10" s="31">
        <v>1</v>
      </c>
      <c r="B10" s="45" t="s">
        <v>96</v>
      </c>
      <c r="C10" s="31">
        <v>5</v>
      </c>
      <c r="D10" s="31" t="s">
        <v>92</v>
      </c>
      <c r="E10" s="31">
        <v>0</v>
      </c>
      <c r="F10" s="37" t="s">
        <v>93</v>
      </c>
      <c r="G10" s="37" t="s">
        <v>94</v>
      </c>
      <c r="H10" s="31"/>
      <c r="I10" s="37" t="s">
        <v>94</v>
      </c>
      <c r="J10" s="31"/>
    </row>
    <row r="11" spans="1:10">
      <c r="A11" s="31">
        <v>2</v>
      </c>
      <c r="B11" s="45" t="s">
        <v>97</v>
      </c>
      <c r="C11" s="31">
        <v>5</v>
      </c>
      <c r="D11" s="31" t="s">
        <v>92</v>
      </c>
      <c r="E11" s="31">
        <v>0</v>
      </c>
      <c r="F11" s="37" t="s">
        <v>93</v>
      </c>
      <c r="G11" s="37" t="s">
        <v>94</v>
      </c>
      <c r="H11" s="31"/>
      <c r="I11" s="37" t="s">
        <v>94</v>
      </c>
      <c r="J11" s="31"/>
    </row>
    <row r="12" spans="1:10">
      <c r="A12" s="31">
        <v>2</v>
      </c>
      <c r="B12" s="45" t="s">
        <v>98</v>
      </c>
      <c r="C12" s="31">
        <v>5</v>
      </c>
      <c r="D12" s="31" t="s">
        <v>92</v>
      </c>
      <c r="E12" s="31">
        <v>0</v>
      </c>
      <c r="F12" s="37" t="s">
        <v>93</v>
      </c>
      <c r="G12" s="37" t="s">
        <v>94</v>
      </c>
      <c r="H12" s="31"/>
      <c r="I12" s="37" t="s">
        <v>94</v>
      </c>
      <c r="J12" s="31"/>
    </row>
    <row r="13" spans="1:10">
      <c r="A13" s="31">
        <v>2</v>
      </c>
      <c r="B13" s="17" t="s">
        <v>99</v>
      </c>
      <c r="C13" s="31">
        <v>5</v>
      </c>
      <c r="D13" s="31" t="s">
        <v>92</v>
      </c>
      <c r="E13" s="31">
        <v>0</v>
      </c>
      <c r="F13" s="37" t="s">
        <v>93</v>
      </c>
      <c r="G13" s="37" t="s">
        <v>94</v>
      </c>
      <c r="H13" s="31"/>
      <c r="I13" s="37" t="s">
        <v>94</v>
      </c>
      <c r="J13" s="31"/>
    </row>
    <row r="14" spans="1:10">
      <c r="A14" s="31">
        <v>10</v>
      </c>
      <c r="B14" s="17" t="s">
        <v>100</v>
      </c>
      <c r="C14" s="31">
        <v>5</v>
      </c>
      <c r="D14" s="31" t="s">
        <v>92</v>
      </c>
      <c r="E14" s="31">
        <v>0</v>
      </c>
      <c r="F14" s="37" t="s">
        <v>93</v>
      </c>
      <c r="G14" s="37" t="s">
        <v>94</v>
      </c>
      <c r="H14" s="31"/>
      <c r="I14" s="37" t="s">
        <v>94</v>
      </c>
      <c r="J14" s="31"/>
    </row>
    <row r="15" spans="1:10">
      <c r="A15" s="31">
        <v>10</v>
      </c>
      <c r="B15" s="17" t="s">
        <v>101</v>
      </c>
      <c r="C15" s="31">
        <v>5</v>
      </c>
      <c r="D15" s="31" t="s">
        <v>92</v>
      </c>
      <c r="E15" s="31">
        <v>0</v>
      </c>
      <c r="F15" s="37" t="s">
        <v>93</v>
      </c>
      <c r="G15" s="37" t="s">
        <v>94</v>
      </c>
      <c r="H15" s="31"/>
      <c r="I15" s="37" t="s">
        <v>94</v>
      </c>
      <c r="J15" s="31"/>
    </row>
    <row r="16" spans="1:10">
      <c r="A16" s="31">
        <v>10</v>
      </c>
      <c r="B16" s="17" t="s">
        <v>102</v>
      </c>
      <c r="C16" s="31">
        <v>5</v>
      </c>
      <c r="D16" s="31" t="s">
        <v>92</v>
      </c>
      <c r="E16" s="31">
        <v>0</v>
      </c>
      <c r="F16" s="37" t="s">
        <v>93</v>
      </c>
      <c r="G16" s="37" t="s">
        <v>94</v>
      </c>
      <c r="H16" s="31"/>
      <c r="I16" s="37" t="s">
        <v>94</v>
      </c>
      <c r="J16" s="31"/>
    </row>
    <row r="17" spans="1:10">
      <c r="A17" s="31">
        <v>10</v>
      </c>
      <c r="B17" s="17" t="s">
        <v>103</v>
      </c>
      <c r="C17" s="31">
        <v>5</v>
      </c>
      <c r="D17" s="31" t="s">
        <v>92</v>
      </c>
      <c r="E17" s="31">
        <v>0</v>
      </c>
      <c r="F17" s="37" t="s">
        <v>93</v>
      </c>
      <c r="G17" s="37" t="s">
        <v>94</v>
      </c>
      <c r="H17" s="31"/>
      <c r="I17" s="37" t="s">
        <v>94</v>
      </c>
      <c r="J17" s="31"/>
    </row>
    <row r="18" spans="1:10">
      <c r="A18" s="31">
        <v>11</v>
      </c>
      <c r="B18" s="17" t="s">
        <v>104</v>
      </c>
      <c r="C18" s="31">
        <v>5</v>
      </c>
      <c r="D18" s="31" t="s">
        <v>92</v>
      </c>
      <c r="E18" s="31">
        <v>0</v>
      </c>
      <c r="F18" s="37" t="s">
        <v>93</v>
      </c>
      <c r="G18" s="37" t="s">
        <v>94</v>
      </c>
      <c r="H18" s="31"/>
      <c r="I18" s="37" t="s">
        <v>94</v>
      </c>
      <c r="J18" s="31"/>
    </row>
    <row r="19" spans="1:10">
      <c r="A19" s="31">
        <v>11</v>
      </c>
      <c r="B19" s="17" t="s">
        <v>105</v>
      </c>
      <c r="C19" s="31">
        <v>5</v>
      </c>
      <c r="D19" s="31" t="s">
        <v>92</v>
      </c>
      <c r="E19" s="31">
        <v>0</v>
      </c>
      <c r="F19" s="37" t="s">
        <v>93</v>
      </c>
      <c r="G19" s="37" t="s">
        <v>94</v>
      </c>
      <c r="H19" s="31"/>
      <c r="I19" s="37" t="s">
        <v>94</v>
      </c>
      <c r="J19" s="31"/>
    </row>
    <row r="20" spans="1:10">
      <c r="A20" s="31">
        <v>11</v>
      </c>
      <c r="B20" s="17" t="s">
        <v>106</v>
      </c>
      <c r="C20" s="31">
        <v>5</v>
      </c>
      <c r="D20" s="31" t="s">
        <v>92</v>
      </c>
      <c r="E20" s="31">
        <v>0</v>
      </c>
      <c r="F20" s="37" t="s">
        <v>93</v>
      </c>
      <c r="G20" s="37" t="s">
        <v>94</v>
      </c>
      <c r="H20" s="31"/>
      <c r="I20" s="37" t="s">
        <v>94</v>
      </c>
      <c r="J20" s="31"/>
    </row>
    <row r="21" spans="1:10">
      <c r="A21" s="31">
        <v>11</v>
      </c>
      <c r="B21" s="17" t="s">
        <v>107</v>
      </c>
      <c r="C21" s="31">
        <v>5</v>
      </c>
      <c r="D21" s="31" t="s">
        <v>92</v>
      </c>
      <c r="E21" s="31">
        <v>0</v>
      </c>
      <c r="F21" s="37" t="s">
        <v>93</v>
      </c>
      <c r="G21" s="37" t="s">
        <v>94</v>
      </c>
      <c r="H21" s="31"/>
      <c r="I21" s="37" t="s">
        <v>94</v>
      </c>
      <c r="J21" s="31"/>
    </row>
    <row r="22" spans="1:10">
      <c r="A22" s="31">
        <v>11</v>
      </c>
      <c r="B22" s="17" t="s">
        <v>108</v>
      </c>
      <c r="C22" s="31">
        <v>5</v>
      </c>
      <c r="D22" s="31" t="s">
        <v>92</v>
      </c>
      <c r="E22" s="31">
        <v>0</v>
      </c>
      <c r="F22" s="43" t="s">
        <v>93</v>
      </c>
      <c r="G22" s="37" t="s">
        <v>94</v>
      </c>
      <c r="H22" s="31"/>
      <c r="I22" s="37" t="s">
        <v>94</v>
      </c>
      <c r="J22" s="31"/>
    </row>
    <row r="23" spans="1:10">
      <c r="A23" s="31">
        <v>11</v>
      </c>
      <c r="B23" s="17" t="s">
        <v>109</v>
      </c>
      <c r="C23" s="31">
        <v>5</v>
      </c>
      <c r="D23" s="31" t="s">
        <v>92</v>
      </c>
      <c r="E23" s="31">
        <v>0</v>
      </c>
      <c r="F23" s="43" t="s">
        <v>93</v>
      </c>
      <c r="G23" s="37" t="s">
        <v>94</v>
      </c>
      <c r="H23" s="31"/>
      <c r="I23" s="37" t="s">
        <v>94</v>
      </c>
      <c r="J23" s="31"/>
    </row>
    <row r="24" spans="1:10">
      <c r="A24" s="31">
        <v>11</v>
      </c>
      <c r="B24" s="17" t="s">
        <v>110</v>
      </c>
      <c r="C24" s="31">
        <v>5</v>
      </c>
      <c r="D24" s="31" t="s">
        <v>92</v>
      </c>
      <c r="E24" s="31">
        <v>0</v>
      </c>
      <c r="F24" s="43" t="s">
        <v>93</v>
      </c>
      <c r="G24" s="37" t="s">
        <v>94</v>
      </c>
      <c r="H24" s="31"/>
      <c r="I24" s="37" t="s">
        <v>94</v>
      </c>
      <c r="J24" s="31"/>
    </row>
    <row r="25" spans="1:10">
      <c r="A25" s="31">
        <v>11</v>
      </c>
      <c r="B25" s="17" t="s">
        <v>111</v>
      </c>
      <c r="C25" s="31">
        <v>5</v>
      </c>
      <c r="D25" s="31" t="s">
        <v>92</v>
      </c>
      <c r="E25" s="31">
        <v>0</v>
      </c>
      <c r="F25" s="43" t="s">
        <v>93</v>
      </c>
      <c r="G25" s="37" t="s">
        <v>94</v>
      </c>
      <c r="H25" s="31"/>
      <c r="I25" s="37" t="s">
        <v>94</v>
      </c>
      <c r="J25" s="31"/>
    </row>
    <row r="26" spans="1:10">
      <c r="A26" s="31">
        <v>11</v>
      </c>
      <c r="B26" s="17" t="s">
        <v>112</v>
      </c>
      <c r="C26" s="31">
        <v>5</v>
      </c>
      <c r="D26" s="31" t="s">
        <v>92</v>
      </c>
      <c r="E26" s="31">
        <v>0</v>
      </c>
      <c r="F26" s="43" t="s">
        <v>93</v>
      </c>
      <c r="G26" s="37" t="s">
        <v>94</v>
      </c>
      <c r="H26" s="31"/>
      <c r="I26" s="37" t="s">
        <v>94</v>
      </c>
      <c r="J26" s="31"/>
    </row>
    <row r="27" spans="1:10">
      <c r="A27" s="31">
        <v>11</v>
      </c>
      <c r="B27" s="17" t="s">
        <v>113</v>
      </c>
      <c r="C27" s="31">
        <v>5</v>
      </c>
      <c r="D27" s="31" t="s">
        <v>92</v>
      </c>
      <c r="E27" s="31">
        <v>0</v>
      </c>
      <c r="F27" s="43" t="s">
        <v>93</v>
      </c>
      <c r="G27" s="37" t="s">
        <v>94</v>
      </c>
      <c r="H27" s="31"/>
      <c r="I27" s="37" t="s">
        <v>94</v>
      </c>
      <c r="J27" s="31"/>
    </row>
    <row r="28" spans="1:10">
      <c r="A28" s="31">
        <v>11</v>
      </c>
      <c r="B28" s="17" t="s">
        <v>114</v>
      </c>
      <c r="C28" s="31">
        <v>5</v>
      </c>
      <c r="D28" s="31" t="s">
        <v>92</v>
      </c>
      <c r="E28" s="31">
        <v>0</v>
      </c>
      <c r="F28" s="43" t="s">
        <v>93</v>
      </c>
      <c r="G28" s="37" t="s">
        <v>94</v>
      </c>
      <c r="H28" s="31"/>
      <c r="I28" s="37" t="s">
        <v>94</v>
      </c>
      <c r="J28" s="31"/>
    </row>
    <row r="29" spans="1:10">
      <c r="A29" s="31">
        <v>11</v>
      </c>
      <c r="B29" s="17" t="s">
        <v>115</v>
      </c>
      <c r="C29" s="31">
        <v>5</v>
      </c>
      <c r="D29" s="31" t="s">
        <v>92</v>
      </c>
      <c r="E29" s="31">
        <v>0</v>
      </c>
      <c r="F29" s="43" t="s">
        <v>93</v>
      </c>
      <c r="G29" s="37" t="s">
        <v>94</v>
      </c>
      <c r="H29" s="31"/>
      <c r="I29" s="37" t="s">
        <v>94</v>
      </c>
      <c r="J29" s="31"/>
    </row>
    <row r="30" spans="1:10">
      <c r="A30" s="31">
        <v>3</v>
      </c>
      <c r="B30" s="17" t="s">
        <v>116</v>
      </c>
      <c r="C30" s="31">
        <v>5</v>
      </c>
      <c r="D30" s="31" t="s">
        <v>92</v>
      </c>
      <c r="E30" s="31">
        <v>0</v>
      </c>
      <c r="F30" s="43" t="s">
        <v>93</v>
      </c>
      <c r="G30" s="37" t="s">
        <v>94</v>
      </c>
      <c r="H30" s="31"/>
      <c r="I30" s="37" t="s">
        <v>94</v>
      </c>
      <c r="J30" s="31"/>
    </row>
    <row r="31" spans="1:10">
      <c r="A31" s="31">
        <v>4</v>
      </c>
      <c r="B31" s="17" t="s">
        <v>117</v>
      </c>
      <c r="C31" s="31">
        <v>5</v>
      </c>
      <c r="D31" s="31" t="s">
        <v>92</v>
      </c>
      <c r="E31" s="31">
        <v>0</v>
      </c>
      <c r="F31" s="43" t="s">
        <v>93</v>
      </c>
      <c r="G31" s="37" t="s">
        <v>94</v>
      </c>
      <c r="H31" s="31"/>
      <c r="I31" s="37" t="s">
        <v>94</v>
      </c>
      <c r="J31" s="31"/>
    </row>
    <row r="32" spans="1:10">
      <c r="A32" s="31">
        <v>5</v>
      </c>
      <c r="B32" s="17" t="s">
        <v>118</v>
      </c>
      <c r="C32" s="31">
        <v>5</v>
      </c>
      <c r="D32" s="31" t="s">
        <v>92</v>
      </c>
      <c r="E32" s="31">
        <v>0</v>
      </c>
      <c r="F32" s="43" t="s">
        <v>93</v>
      </c>
      <c r="G32" s="37" t="s">
        <v>94</v>
      </c>
      <c r="H32" s="31"/>
      <c r="I32" s="37" t="s">
        <v>94</v>
      </c>
      <c r="J32" s="31"/>
    </row>
    <row r="33" spans="1:10">
      <c r="A33" s="31">
        <v>5</v>
      </c>
      <c r="B33" s="17" t="s">
        <v>119</v>
      </c>
      <c r="C33" s="31">
        <v>5</v>
      </c>
      <c r="D33" s="31" t="s">
        <v>92</v>
      </c>
      <c r="E33" s="31">
        <v>0</v>
      </c>
      <c r="F33" s="43" t="s">
        <v>93</v>
      </c>
      <c r="G33" s="37" t="s">
        <v>94</v>
      </c>
      <c r="H33" s="31"/>
      <c r="I33" s="37" t="s">
        <v>94</v>
      </c>
      <c r="J33" s="31"/>
    </row>
    <row r="34" spans="1:10">
      <c r="A34" s="31">
        <v>5</v>
      </c>
      <c r="B34" s="17" t="s">
        <v>120</v>
      </c>
      <c r="C34" s="31">
        <v>5</v>
      </c>
      <c r="D34" s="31" t="s">
        <v>92</v>
      </c>
      <c r="E34" s="31">
        <v>0</v>
      </c>
      <c r="F34" s="43" t="s">
        <v>93</v>
      </c>
      <c r="G34" s="37" t="s">
        <v>94</v>
      </c>
      <c r="H34" s="31"/>
      <c r="I34" s="37" t="s">
        <v>94</v>
      </c>
      <c r="J34" s="31"/>
    </row>
    <row r="35" spans="1:10">
      <c r="A35" s="31">
        <v>5</v>
      </c>
      <c r="B35" s="17" t="s">
        <v>121</v>
      </c>
      <c r="C35" s="31">
        <v>5</v>
      </c>
      <c r="D35" s="31" t="s">
        <v>92</v>
      </c>
      <c r="E35" s="31">
        <v>0</v>
      </c>
      <c r="F35" s="43" t="s">
        <v>93</v>
      </c>
      <c r="G35" s="37" t="s">
        <v>94</v>
      </c>
      <c r="H35" s="31"/>
      <c r="I35" s="37" t="s">
        <v>94</v>
      </c>
      <c r="J35" s="31"/>
    </row>
    <row r="36" spans="1:10">
      <c r="A36" s="31">
        <v>5</v>
      </c>
      <c r="B36" s="17" t="s">
        <v>122</v>
      </c>
      <c r="C36" s="31">
        <v>5</v>
      </c>
      <c r="D36" s="31" t="s">
        <v>92</v>
      </c>
      <c r="E36" s="31">
        <v>0</v>
      </c>
      <c r="F36" s="43" t="s">
        <v>93</v>
      </c>
      <c r="G36" s="37" t="s">
        <v>94</v>
      </c>
      <c r="H36" s="31"/>
      <c r="I36" s="37" t="s">
        <v>94</v>
      </c>
      <c r="J36" s="31"/>
    </row>
    <row r="37" spans="1:10">
      <c r="A37" s="31">
        <v>5</v>
      </c>
      <c r="B37" s="17" t="s">
        <v>123</v>
      </c>
      <c r="C37" s="31">
        <v>5</v>
      </c>
      <c r="D37" s="31" t="s">
        <v>92</v>
      </c>
      <c r="E37" s="31">
        <v>0</v>
      </c>
      <c r="F37" s="43" t="s">
        <v>93</v>
      </c>
      <c r="G37" s="37" t="s">
        <v>94</v>
      </c>
      <c r="H37" s="31"/>
      <c r="I37" s="37" t="s">
        <v>94</v>
      </c>
      <c r="J37" s="31"/>
    </row>
    <row r="38" spans="1:10">
      <c r="A38" s="31">
        <v>5</v>
      </c>
      <c r="B38" s="17" t="s">
        <v>124</v>
      </c>
      <c r="C38" s="31">
        <v>5</v>
      </c>
      <c r="D38" s="31" t="s">
        <v>92</v>
      </c>
      <c r="E38" s="31">
        <v>0</v>
      </c>
      <c r="F38" s="43" t="s">
        <v>93</v>
      </c>
      <c r="G38" s="37" t="s">
        <v>94</v>
      </c>
      <c r="H38" s="31"/>
      <c r="I38" s="37" t="s">
        <v>94</v>
      </c>
      <c r="J38" s="31"/>
    </row>
    <row r="39" spans="1:10">
      <c r="A39" s="31">
        <v>5</v>
      </c>
      <c r="B39" s="17" t="s">
        <v>125</v>
      </c>
      <c r="C39" s="31">
        <v>5</v>
      </c>
      <c r="D39" s="31" t="s">
        <v>92</v>
      </c>
      <c r="E39" s="31">
        <v>0</v>
      </c>
      <c r="F39" s="43" t="s">
        <v>93</v>
      </c>
      <c r="G39" s="37" t="s">
        <v>94</v>
      </c>
      <c r="H39" s="31"/>
      <c r="I39" s="37" t="s">
        <v>94</v>
      </c>
      <c r="J39" s="31"/>
    </row>
    <row r="40" spans="1:10">
      <c r="A40" s="31">
        <v>5</v>
      </c>
      <c r="B40" s="17" t="s">
        <v>126</v>
      </c>
      <c r="C40" s="31">
        <v>5</v>
      </c>
      <c r="D40" s="31" t="s">
        <v>92</v>
      </c>
      <c r="E40" s="31">
        <v>0</v>
      </c>
      <c r="F40" s="43" t="s">
        <v>93</v>
      </c>
      <c r="G40" s="37" t="s">
        <v>94</v>
      </c>
      <c r="H40" s="31"/>
      <c r="I40" s="37" t="s">
        <v>94</v>
      </c>
      <c r="J40" s="31"/>
    </row>
    <row r="41" spans="1:10">
      <c r="A41" s="31">
        <v>5</v>
      </c>
      <c r="B41" s="17" t="s">
        <v>127</v>
      </c>
      <c r="C41" s="31">
        <v>5</v>
      </c>
      <c r="D41" s="31" t="s">
        <v>92</v>
      </c>
      <c r="E41" s="31">
        <v>0</v>
      </c>
      <c r="F41" s="43" t="s">
        <v>93</v>
      </c>
      <c r="G41" s="37" t="s">
        <v>94</v>
      </c>
      <c r="H41" s="31"/>
      <c r="I41" s="37" t="s">
        <v>94</v>
      </c>
      <c r="J41" s="31"/>
    </row>
    <row r="42" spans="1:10">
      <c r="A42" s="31">
        <v>5</v>
      </c>
      <c r="B42" s="17" t="s">
        <v>128</v>
      </c>
      <c r="C42" s="31">
        <v>5</v>
      </c>
      <c r="D42" s="31" t="s">
        <v>92</v>
      </c>
      <c r="E42" s="31">
        <v>0</v>
      </c>
      <c r="F42" s="43" t="s">
        <v>93</v>
      </c>
      <c r="G42" s="37" t="s">
        <v>94</v>
      </c>
      <c r="H42" s="31"/>
      <c r="I42" s="37" t="s">
        <v>94</v>
      </c>
      <c r="J42" s="31"/>
    </row>
    <row r="43" spans="1:10">
      <c r="A43" s="31">
        <v>5</v>
      </c>
      <c r="B43" s="17" t="s">
        <v>129</v>
      </c>
      <c r="C43" s="31">
        <v>5</v>
      </c>
      <c r="D43" s="31" t="s">
        <v>92</v>
      </c>
      <c r="E43" s="31">
        <v>0</v>
      </c>
      <c r="F43" s="43" t="s">
        <v>93</v>
      </c>
      <c r="G43" s="37" t="s">
        <v>94</v>
      </c>
      <c r="H43" s="31"/>
      <c r="I43" s="37" t="s">
        <v>94</v>
      </c>
      <c r="J43" s="31"/>
    </row>
    <row r="44" spans="1:10">
      <c r="A44" s="31">
        <v>5</v>
      </c>
      <c r="B44" s="17" t="s">
        <v>130</v>
      </c>
      <c r="C44" s="31">
        <v>5</v>
      </c>
      <c r="D44" s="31" t="s">
        <v>92</v>
      </c>
      <c r="E44" s="31">
        <v>0</v>
      </c>
      <c r="F44" s="43" t="s">
        <v>93</v>
      </c>
      <c r="G44" s="37" t="s">
        <v>94</v>
      </c>
      <c r="H44" s="31"/>
      <c r="I44" s="37" t="s">
        <v>94</v>
      </c>
      <c r="J44" s="31"/>
    </row>
    <row r="45" spans="1:10">
      <c r="A45" s="31">
        <v>5</v>
      </c>
      <c r="B45" s="17" t="s">
        <v>131</v>
      </c>
      <c r="C45" s="31">
        <v>5</v>
      </c>
      <c r="D45" s="31" t="s">
        <v>92</v>
      </c>
      <c r="E45" s="31">
        <v>0</v>
      </c>
      <c r="F45" s="43" t="s">
        <v>93</v>
      </c>
      <c r="G45" s="37" t="s">
        <v>94</v>
      </c>
      <c r="H45" s="31"/>
      <c r="I45" s="37" t="s">
        <v>94</v>
      </c>
      <c r="J45" s="31"/>
    </row>
    <row r="46" spans="1:10">
      <c r="A46" s="31">
        <v>5</v>
      </c>
      <c r="B46" s="17" t="s">
        <v>132</v>
      </c>
      <c r="C46" s="31">
        <v>5</v>
      </c>
      <c r="D46" s="31" t="s">
        <v>92</v>
      </c>
      <c r="E46" s="31">
        <v>0</v>
      </c>
      <c r="F46" s="43" t="s">
        <v>93</v>
      </c>
      <c r="G46" s="37" t="s">
        <v>94</v>
      </c>
      <c r="H46" s="31"/>
      <c r="I46" s="37" t="s">
        <v>94</v>
      </c>
      <c r="J46" s="31"/>
    </row>
    <row r="47" spans="1:10">
      <c r="A47" s="31">
        <v>5</v>
      </c>
      <c r="B47" s="17" t="s">
        <v>133</v>
      </c>
      <c r="C47" s="31">
        <v>5</v>
      </c>
      <c r="D47" s="31" t="s">
        <v>92</v>
      </c>
      <c r="E47" s="31">
        <v>0</v>
      </c>
      <c r="F47" s="43" t="s">
        <v>93</v>
      </c>
      <c r="G47" s="37" t="s">
        <v>94</v>
      </c>
      <c r="H47" s="31"/>
      <c r="I47" s="37" t="s">
        <v>94</v>
      </c>
      <c r="J47" s="31"/>
    </row>
    <row r="48" spans="1:10">
      <c r="A48" s="31">
        <v>5</v>
      </c>
      <c r="B48" s="17" t="s">
        <v>134</v>
      </c>
      <c r="C48" s="31">
        <v>5</v>
      </c>
      <c r="D48" s="31" t="s">
        <v>92</v>
      </c>
      <c r="E48" s="31">
        <v>0</v>
      </c>
      <c r="F48" s="43" t="s">
        <v>93</v>
      </c>
      <c r="G48" s="37" t="s">
        <v>94</v>
      </c>
      <c r="H48" s="31"/>
      <c r="I48" s="37" t="s">
        <v>94</v>
      </c>
      <c r="J48" s="31"/>
    </row>
    <row r="49" spans="1:10">
      <c r="A49" s="31">
        <v>5</v>
      </c>
      <c r="B49" s="17" t="s">
        <v>135</v>
      </c>
      <c r="C49" s="31">
        <v>5</v>
      </c>
      <c r="D49" s="31" t="s">
        <v>92</v>
      </c>
      <c r="E49" s="31">
        <v>0</v>
      </c>
      <c r="F49" s="43" t="s">
        <v>93</v>
      </c>
      <c r="G49" s="37" t="s">
        <v>94</v>
      </c>
      <c r="H49" s="31"/>
      <c r="I49" s="37" t="s">
        <v>94</v>
      </c>
      <c r="J49" s="31"/>
    </row>
    <row r="50" spans="1:10">
      <c r="A50" s="31">
        <v>5</v>
      </c>
      <c r="B50" s="17" t="s">
        <v>136</v>
      </c>
      <c r="C50" s="31">
        <v>5</v>
      </c>
      <c r="D50" s="31" t="s">
        <v>92</v>
      </c>
      <c r="E50" s="31">
        <v>0</v>
      </c>
      <c r="F50" s="43" t="s">
        <v>93</v>
      </c>
      <c r="G50" s="37" t="s">
        <v>94</v>
      </c>
      <c r="H50" s="31"/>
      <c r="I50" s="37" t="s">
        <v>94</v>
      </c>
      <c r="J50" s="31"/>
    </row>
    <row r="51" spans="1:10">
      <c r="A51" s="31">
        <v>5</v>
      </c>
      <c r="B51" s="17" t="s">
        <v>137</v>
      </c>
      <c r="C51" s="31">
        <v>5</v>
      </c>
      <c r="D51" s="31" t="s">
        <v>92</v>
      </c>
      <c r="E51" s="31">
        <v>0</v>
      </c>
      <c r="F51" s="43" t="s">
        <v>93</v>
      </c>
      <c r="G51" s="37" t="s">
        <v>94</v>
      </c>
      <c r="H51" s="31"/>
      <c r="I51" s="37" t="s">
        <v>94</v>
      </c>
      <c r="J51" s="31"/>
    </row>
    <row r="52" spans="1:10">
      <c r="A52" s="31">
        <v>5</v>
      </c>
      <c r="B52" s="17" t="s">
        <v>138</v>
      </c>
      <c r="C52" s="31">
        <v>5</v>
      </c>
      <c r="D52" s="31" t="s">
        <v>92</v>
      </c>
      <c r="E52" s="31">
        <v>0</v>
      </c>
      <c r="F52" s="43" t="s">
        <v>93</v>
      </c>
      <c r="G52" s="37" t="s">
        <v>94</v>
      </c>
      <c r="H52" s="31"/>
      <c r="I52" s="37" t="s">
        <v>94</v>
      </c>
      <c r="J52" s="31"/>
    </row>
    <row r="53" spans="1:10">
      <c r="A53" s="31">
        <v>5</v>
      </c>
      <c r="B53" s="17" t="s">
        <v>139</v>
      </c>
      <c r="C53" s="31">
        <v>5</v>
      </c>
      <c r="D53" s="31" t="s">
        <v>92</v>
      </c>
      <c r="E53" s="31">
        <v>0</v>
      </c>
      <c r="F53" s="43" t="s">
        <v>93</v>
      </c>
      <c r="G53" s="37" t="s">
        <v>94</v>
      </c>
      <c r="H53" s="31"/>
      <c r="I53" s="37" t="s">
        <v>94</v>
      </c>
      <c r="J53" s="31"/>
    </row>
    <row r="54" spans="1:10">
      <c r="A54" s="31">
        <v>5</v>
      </c>
      <c r="B54" s="17" t="s">
        <v>140</v>
      </c>
      <c r="C54" s="31">
        <v>5</v>
      </c>
      <c r="D54" s="31" t="s">
        <v>92</v>
      </c>
      <c r="E54" s="31">
        <v>0</v>
      </c>
      <c r="F54" s="43" t="s">
        <v>93</v>
      </c>
      <c r="G54" s="37" t="s">
        <v>94</v>
      </c>
      <c r="H54" s="31"/>
      <c r="I54" s="37" t="s">
        <v>94</v>
      </c>
      <c r="J54" s="31"/>
    </row>
    <row r="55" spans="1:10">
      <c r="A55" s="31">
        <v>5</v>
      </c>
      <c r="B55" s="17" t="s">
        <v>141</v>
      </c>
      <c r="C55" s="31">
        <v>5</v>
      </c>
      <c r="D55" s="31" t="s">
        <v>92</v>
      </c>
      <c r="E55" s="31">
        <v>0</v>
      </c>
      <c r="F55" s="43" t="s">
        <v>93</v>
      </c>
      <c r="G55" s="37" t="s">
        <v>94</v>
      </c>
      <c r="H55" s="31"/>
      <c r="I55" s="37" t="s">
        <v>94</v>
      </c>
      <c r="J55" s="31"/>
    </row>
    <row r="56" spans="1:10">
      <c r="A56" s="31">
        <v>5</v>
      </c>
      <c r="B56" s="17" t="s">
        <v>142</v>
      </c>
      <c r="C56" s="31">
        <v>5</v>
      </c>
      <c r="D56" s="31" t="s">
        <v>92</v>
      </c>
      <c r="E56" s="31">
        <v>0</v>
      </c>
      <c r="F56" s="43" t="s">
        <v>93</v>
      </c>
      <c r="G56" s="37" t="s">
        <v>94</v>
      </c>
      <c r="H56" s="31"/>
      <c r="I56" s="37" t="s">
        <v>94</v>
      </c>
      <c r="J56" s="31"/>
    </row>
    <row r="57" spans="1:10">
      <c r="A57" s="31">
        <v>5</v>
      </c>
      <c r="B57" s="17" t="s">
        <v>143</v>
      </c>
      <c r="C57" s="31">
        <v>5</v>
      </c>
      <c r="D57" s="31" t="s">
        <v>92</v>
      </c>
      <c r="E57" s="31">
        <v>0</v>
      </c>
      <c r="F57" s="43" t="s">
        <v>93</v>
      </c>
      <c r="G57" s="37" t="s">
        <v>94</v>
      </c>
      <c r="H57" s="31"/>
      <c r="I57" s="37" t="s">
        <v>94</v>
      </c>
      <c r="J57" s="31"/>
    </row>
    <row r="58" spans="1:10">
      <c r="A58" s="31">
        <v>5</v>
      </c>
      <c r="B58" s="17" t="s">
        <v>144</v>
      </c>
      <c r="C58" s="31">
        <v>5</v>
      </c>
      <c r="D58" s="31" t="s">
        <v>92</v>
      </c>
      <c r="E58" s="31">
        <v>0</v>
      </c>
      <c r="F58" s="43" t="s">
        <v>93</v>
      </c>
      <c r="G58" s="37" t="s">
        <v>94</v>
      </c>
      <c r="H58" s="31"/>
      <c r="I58" s="37" t="s">
        <v>94</v>
      </c>
      <c r="J58" s="31"/>
    </row>
    <row r="59" spans="1:10">
      <c r="A59" s="31">
        <v>5</v>
      </c>
      <c r="B59" s="17" t="s">
        <v>145</v>
      </c>
      <c r="C59" s="31">
        <v>5</v>
      </c>
      <c r="D59" s="31" t="s">
        <v>92</v>
      </c>
      <c r="E59" s="31">
        <v>0</v>
      </c>
      <c r="F59" s="43" t="s">
        <v>93</v>
      </c>
      <c r="G59" s="37" t="s">
        <v>94</v>
      </c>
      <c r="H59" s="31"/>
      <c r="I59" s="37" t="s">
        <v>94</v>
      </c>
      <c r="J59" s="31"/>
    </row>
    <row r="60" spans="1:10">
      <c r="A60" s="31">
        <v>5</v>
      </c>
      <c r="B60" s="17" t="s">
        <v>146</v>
      </c>
      <c r="C60" s="31">
        <v>5</v>
      </c>
      <c r="D60" s="31" t="s">
        <v>92</v>
      </c>
      <c r="E60" s="31">
        <v>0</v>
      </c>
      <c r="F60" s="43" t="s">
        <v>93</v>
      </c>
      <c r="G60" s="37" t="s">
        <v>94</v>
      </c>
      <c r="H60" s="31"/>
      <c r="I60" s="37" t="s">
        <v>94</v>
      </c>
      <c r="J60" s="31"/>
    </row>
    <row r="61" spans="1:10">
      <c r="A61" s="31">
        <v>5</v>
      </c>
      <c r="B61" s="17" t="s">
        <v>147</v>
      </c>
      <c r="C61" s="31">
        <v>5</v>
      </c>
      <c r="D61" s="31" t="s">
        <v>92</v>
      </c>
      <c r="E61" s="31">
        <v>0</v>
      </c>
      <c r="F61" s="43" t="s">
        <v>93</v>
      </c>
      <c r="G61" s="37" t="s">
        <v>94</v>
      </c>
      <c r="H61" s="31"/>
      <c r="I61" s="37" t="s">
        <v>94</v>
      </c>
      <c r="J61" s="31"/>
    </row>
    <row r="62" spans="1:10">
      <c r="A62" s="31">
        <v>5</v>
      </c>
      <c r="B62" s="17" t="s">
        <v>148</v>
      </c>
      <c r="C62" s="31">
        <v>5</v>
      </c>
      <c r="D62" s="31" t="s">
        <v>92</v>
      </c>
      <c r="E62" s="31">
        <v>0</v>
      </c>
      <c r="F62" s="43" t="s">
        <v>93</v>
      </c>
      <c r="G62" s="37" t="s">
        <v>94</v>
      </c>
      <c r="H62" s="31"/>
      <c r="I62" s="37" t="s">
        <v>94</v>
      </c>
      <c r="J62" s="31"/>
    </row>
    <row r="63" spans="1:10">
      <c r="A63" s="31">
        <v>5</v>
      </c>
      <c r="B63" s="17" t="s">
        <v>149</v>
      </c>
      <c r="C63" s="31">
        <v>5</v>
      </c>
      <c r="D63" s="31" t="s">
        <v>92</v>
      </c>
      <c r="E63" s="31">
        <v>0</v>
      </c>
      <c r="F63" s="43" t="s">
        <v>93</v>
      </c>
      <c r="G63" s="37" t="s">
        <v>94</v>
      </c>
      <c r="H63" s="31"/>
      <c r="I63" s="37" t="s">
        <v>94</v>
      </c>
      <c r="J63" s="31"/>
    </row>
    <row r="64" spans="1:10">
      <c r="A64" s="31">
        <v>5</v>
      </c>
      <c r="B64" s="17" t="s">
        <v>150</v>
      </c>
      <c r="C64" s="31">
        <v>5</v>
      </c>
      <c r="D64" s="31" t="s">
        <v>92</v>
      </c>
      <c r="E64" s="31">
        <v>0</v>
      </c>
      <c r="F64" s="43" t="s">
        <v>93</v>
      </c>
      <c r="G64" s="37" t="s">
        <v>94</v>
      </c>
      <c r="H64" s="31"/>
      <c r="I64" s="37" t="s">
        <v>94</v>
      </c>
      <c r="J64" s="31"/>
    </row>
    <row r="65" spans="1:10">
      <c r="A65" s="31">
        <v>5</v>
      </c>
      <c r="B65" s="17" t="s">
        <v>151</v>
      </c>
      <c r="C65" s="31">
        <v>5</v>
      </c>
      <c r="D65" s="31" t="s">
        <v>92</v>
      </c>
      <c r="E65" s="31">
        <v>0</v>
      </c>
      <c r="F65" s="43" t="s">
        <v>93</v>
      </c>
      <c r="G65" s="37" t="s">
        <v>94</v>
      </c>
      <c r="H65" s="31"/>
      <c r="I65" s="37" t="s">
        <v>94</v>
      </c>
      <c r="J65" s="31"/>
    </row>
    <row r="66" spans="1:10">
      <c r="A66" s="31">
        <v>5</v>
      </c>
      <c r="B66" s="17" t="s">
        <v>152</v>
      </c>
      <c r="C66" s="31">
        <v>5</v>
      </c>
      <c r="D66" s="31" t="s">
        <v>92</v>
      </c>
      <c r="E66" s="31">
        <v>0</v>
      </c>
      <c r="F66" s="43" t="s">
        <v>93</v>
      </c>
      <c r="G66" s="37" t="s">
        <v>94</v>
      </c>
      <c r="H66" s="31"/>
      <c r="I66" s="37" t="s">
        <v>94</v>
      </c>
      <c r="J66" s="31"/>
    </row>
    <row r="67" spans="1:10">
      <c r="A67" s="31">
        <v>5</v>
      </c>
      <c r="B67" s="17" t="s">
        <v>153</v>
      </c>
      <c r="C67" s="31">
        <v>5</v>
      </c>
      <c r="D67" s="31" t="s">
        <v>92</v>
      </c>
      <c r="E67" s="31">
        <v>0</v>
      </c>
      <c r="F67" s="43" t="s">
        <v>93</v>
      </c>
      <c r="G67" s="37" t="s">
        <v>94</v>
      </c>
      <c r="H67" s="31"/>
      <c r="I67" s="37" t="s">
        <v>94</v>
      </c>
      <c r="J67" s="31"/>
    </row>
    <row r="68" spans="1:10">
      <c r="A68" s="31">
        <v>5</v>
      </c>
      <c r="B68" s="17" t="s">
        <v>154</v>
      </c>
      <c r="C68" s="31">
        <v>5</v>
      </c>
      <c r="D68" s="31" t="s">
        <v>92</v>
      </c>
      <c r="E68" s="31">
        <v>0</v>
      </c>
      <c r="F68" s="43" t="s">
        <v>93</v>
      </c>
      <c r="G68" s="37" t="s">
        <v>94</v>
      </c>
      <c r="H68" s="31"/>
      <c r="I68" s="37" t="s">
        <v>94</v>
      </c>
      <c r="J68" s="31"/>
    </row>
    <row r="69" spans="1:10">
      <c r="A69" s="31">
        <v>5</v>
      </c>
      <c r="B69" s="17" t="s">
        <v>155</v>
      </c>
      <c r="C69" s="31">
        <v>5</v>
      </c>
      <c r="D69" s="31" t="s">
        <v>92</v>
      </c>
      <c r="E69" s="31">
        <v>0</v>
      </c>
      <c r="F69" s="43" t="s">
        <v>93</v>
      </c>
      <c r="G69" s="37" t="s">
        <v>94</v>
      </c>
      <c r="H69" s="31"/>
      <c r="I69" s="37" t="s">
        <v>94</v>
      </c>
      <c r="J69" s="31"/>
    </row>
    <row r="70" spans="1:10">
      <c r="A70" s="31">
        <v>5</v>
      </c>
      <c r="B70" s="17" t="s">
        <v>156</v>
      </c>
      <c r="C70" s="31">
        <v>5</v>
      </c>
      <c r="D70" s="31" t="s">
        <v>92</v>
      </c>
      <c r="E70" s="31">
        <v>0</v>
      </c>
      <c r="F70" s="43" t="s">
        <v>93</v>
      </c>
      <c r="G70" s="37" t="s">
        <v>94</v>
      </c>
      <c r="H70" s="31"/>
      <c r="I70" s="37" t="s">
        <v>94</v>
      </c>
      <c r="J70" s="31"/>
    </row>
    <row r="71" spans="1:10">
      <c r="A71" s="31">
        <v>5</v>
      </c>
      <c r="B71" s="17" t="s">
        <v>157</v>
      </c>
      <c r="C71" s="31">
        <v>5</v>
      </c>
      <c r="D71" s="31" t="s">
        <v>92</v>
      </c>
      <c r="E71" s="31">
        <v>0</v>
      </c>
      <c r="F71" s="43" t="s">
        <v>93</v>
      </c>
      <c r="G71" s="37" t="s">
        <v>94</v>
      </c>
      <c r="H71" s="31"/>
      <c r="I71" s="37" t="s">
        <v>94</v>
      </c>
      <c r="J71" s="31"/>
    </row>
    <row r="72" spans="1:10">
      <c r="A72" s="31">
        <v>5</v>
      </c>
      <c r="B72" s="17" t="s">
        <v>158</v>
      </c>
      <c r="C72" s="31">
        <v>5</v>
      </c>
      <c r="D72" s="31" t="s">
        <v>92</v>
      </c>
      <c r="E72" s="31">
        <v>0</v>
      </c>
      <c r="F72" s="43" t="s">
        <v>93</v>
      </c>
      <c r="G72" s="37" t="s">
        <v>94</v>
      </c>
      <c r="H72" s="31"/>
      <c r="I72" s="37" t="s">
        <v>94</v>
      </c>
      <c r="J72" s="31"/>
    </row>
    <row r="73" spans="1:10">
      <c r="A73" s="31">
        <v>5</v>
      </c>
      <c r="B73" s="17" t="s">
        <v>159</v>
      </c>
      <c r="C73" s="31">
        <v>5</v>
      </c>
      <c r="D73" s="31" t="s">
        <v>92</v>
      </c>
      <c r="E73" s="31">
        <v>0</v>
      </c>
      <c r="F73" s="43" t="s">
        <v>93</v>
      </c>
      <c r="G73" s="37" t="s">
        <v>94</v>
      </c>
      <c r="H73" s="31"/>
      <c r="I73" s="37" t="s">
        <v>94</v>
      </c>
      <c r="J73" s="31"/>
    </row>
    <row r="74" spans="1:10">
      <c r="A74" s="31">
        <v>5</v>
      </c>
      <c r="B74" s="17" t="s">
        <v>160</v>
      </c>
      <c r="C74" s="31">
        <v>5</v>
      </c>
      <c r="D74" s="31" t="s">
        <v>92</v>
      </c>
      <c r="E74" s="31">
        <v>0</v>
      </c>
      <c r="F74" s="43" t="s">
        <v>93</v>
      </c>
      <c r="G74" s="37" t="s">
        <v>94</v>
      </c>
      <c r="H74" s="31"/>
      <c r="I74" s="37" t="s">
        <v>94</v>
      </c>
      <c r="J74" s="31"/>
    </row>
    <row r="75" spans="1:10">
      <c r="A75" s="31">
        <v>5</v>
      </c>
      <c r="B75" s="17" t="s">
        <v>161</v>
      </c>
      <c r="C75" s="31">
        <v>5</v>
      </c>
      <c r="D75" s="31" t="s">
        <v>92</v>
      </c>
      <c r="E75" s="31">
        <v>0</v>
      </c>
      <c r="F75" s="43" t="s">
        <v>93</v>
      </c>
      <c r="G75" s="37" t="s">
        <v>94</v>
      </c>
      <c r="H75" s="31"/>
      <c r="I75" s="37" t="s">
        <v>94</v>
      </c>
      <c r="J75" s="31"/>
    </row>
    <row r="76" spans="1:10">
      <c r="A76" s="31">
        <v>5</v>
      </c>
      <c r="B76" s="17" t="s">
        <v>162</v>
      </c>
      <c r="C76" s="31">
        <v>5</v>
      </c>
      <c r="D76" s="31" t="s">
        <v>92</v>
      </c>
      <c r="E76" s="31">
        <v>0</v>
      </c>
      <c r="F76" s="43" t="s">
        <v>93</v>
      </c>
      <c r="G76" s="37" t="s">
        <v>94</v>
      </c>
      <c r="H76" s="31"/>
      <c r="I76" s="37" t="s">
        <v>94</v>
      </c>
      <c r="J76" s="31"/>
    </row>
    <row r="77" spans="1:10">
      <c r="A77" s="31">
        <v>5</v>
      </c>
      <c r="B77" s="17" t="s">
        <v>163</v>
      </c>
      <c r="C77" s="31">
        <v>5</v>
      </c>
      <c r="D77" s="31" t="s">
        <v>92</v>
      </c>
      <c r="E77" s="31">
        <v>0</v>
      </c>
      <c r="F77" s="43" t="s">
        <v>93</v>
      </c>
      <c r="G77" s="37" t="s">
        <v>94</v>
      </c>
      <c r="H77" s="31"/>
      <c r="I77" s="37" t="s">
        <v>94</v>
      </c>
      <c r="J77" s="31"/>
    </row>
    <row r="78" spans="1:10">
      <c r="A78" s="31">
        <v>5</v>
      </c>
      <c r="B78" s="17" t="s">
        <v>164</v>
      </c>
      <c r="C78" s="31">
        <v>5</v>
      </c>
      <c r="D78" s="31" t="s">
        <v>92</v>
      </c>
      <c r="E78" s="31">
        <v>0</v>
      </c>
      <c r="F78" s="43" t="s">
        <v>93</v>
      </c>
      <c r="G78" s="37" t="s">
        <v>94</v>
      </c>
      <c r="H78" s="31"/>
      <c r="I78" s="37" t="s">
        <v>94</v>
      </c>
      <c r="J78" s="31"/>
    </row>
    <row r="79" spans="1:10">
      <c r="A79" s="31">
        <v>5</v>
      </c>
      <c r="B79" s="17" t="s">
        <v>165</v>
      </c>
      <c r="C79" s="31">
        <v>5</v>
      </c>
      <c r="D79" s="31" t="s">
        <v>92</v>
      </c>
      <c r="E79" s="31">
        <v>0</v>
      </c>
      <c r="F79" s="43" t="s">
        <v>93</v>
      </c>
      <c r="G79" s="37" t="s">
        <v>94</v>
      </c>
      <c r="H79" s="31"/>
      <c r="I79" s="37" t="s">
        <v>94</v>
      </c>
      <c r="J79" s="31"/>
    </row>
    <row r="80" spans="1:10">
      <c r="A80" s="31">
        <v>5</v>
      </c>
      <c r="B80" s="17" t="s">
        <v>166</v>
      </c>
      <c r="C80" s="31">
        <v>5</v>
      </c>
      <c r="D80" s="31" t="s">
        <v>92</v>
      </c>
      <c r="E80" s="31">
        <v>0</v>
      </c>
      <c r="F80" s="43" t="s">
        <v>93</v>
      </c>
      <c r="G80" s="37" t="s">
        <v>94</v>
      </c>
      <c r="H80" s="31"/>
      <c r="I80" s="37" t="s">
        <v>94</v>
      </c>
      <c r="J80" s="31"/>
    </row>
    <row r="81" spans="1:10">
      <c r="A81" s="31">
        <v>5</v>
      </c>
      <c r="B81" s="17" t="s">
        <v>167</v>
      </c>
      <c r="C81" s="31">
        <v>5</v>
      </c>
      <c r="D81" s="31" t="s">
        <v>92</v>
      </c>
      <c r="E81" s="31">
        <v>0</v>
      </c>
      <c r="F81" s="43" t="s">
        <v>93</v>
      </c>
      <c r="G81" s="37" t="s">
        <v>94</v>
      </c>
      <c r="H81" s="31"/>
      <c r="I81" s="37" t="s">
        <v>94</v>
      </c>
      <c r="J81" s="31"/>
    </row>
    <row r="82" spans="1:10">
      <c r="A82" s="31">
        <v>5</v>
      </c>
      <c r="B82" s="17" t="s">
        <v>168</v>
      </c>
      <c r="C82" s="31">
        <v>5</v>
      </c>
      <c r="D82" s="31" t="s">
        <v>92</v>
      </c>
      <c r="E82" s="31">
        <v>0</v>
      </c>
      <c r="F82" s="43" t="s">
        <v>93</v>
      </c>
      <c r="G82" s="37" t="s">
        <v>94</v>
      </c>
      <c r="H82" s="31"/>
      <c r="I82" s="37" t="s">
        <v>94</v>
      </c>
      <c r="J82" s="31"/>
    </row>
    <row r="83" spans="1:10">
      <c r="A83" s="31">
        <v>5</v>
      </c>
      <c r="B83" s="17" t="s">
        <v>169</v>
      </c>
      <c r="C83" s="31">
        <v>5</v>
      </c>
      <c r="D83" s="31" t="s">
        <v>92</v>
      </c>
      <c r="E83" s="31">
        <v>0</v>
      </c>
      <c r="F83" s="43" t="s">
        <v>93</v>
      </c>
      <c r="G83" s="37" t="s">
        <v>94</v>
      </c>
      <c r="H83" s="31"/>
      <c r="I83" s="37" t="s">
        <v>94</v>
      </c>
      <c r="J83" s="31"/>
    </row>
    <row r="84" spans="1:10">
      <c r="A84" s="31">
        <v>5</v>
      </c>
      <c r="B84" s="17" t="s">
        <v>170</v>
      </c>
      <c r="C84" s="31">
        <v>5</v>
      </c>
      <c r="D84" s="31" t="s">
        <v>92</v>
      </c>
      <c r="E84" s="31">
        <v>0</v>
      </c>
      <c r="F84" s="43" t="s">
        <v>93</v>
      </c>
      <c r="G84" s="37" t="s">
        <v>94</v>
      </c>
      <c r="H84" s="31"/>
      <c r="I84" s="37" t="s">
        <v>94</v>
      </c>
      <c r="J84" s="31"/>
    </row>
    <row r="85" spans="1:10">
      <c r="A85" s="31">
        <v>5</v>
      </c>
      <c r="B85" s="17" t="s">
        <v>171</v>
      </c>
      <c r="C85" s="31">
        <v>5</v>
      </c>
      <c r="D85" s="31" t="s">
        <v>92</v>
      </c>
      <c r="E85" s="31">
        <v>0</v>
      </c>
      <c r="F85" s="43" t="s">
        <v>93</v>
      </c>
      <c r="G85" s="37" t="s">
        <v>94</v>
      </c>
      <c r="H85" s="31"/>
      <c r="I85" s="37" t="s">
        <v>94</v>
      </c>
      <c r="J85" s="31"/>
    </row>
    <row r="86" spans="1:10">
      <c r="A86" s="31">
        <v>5</v>
      </c>
      <c r="B86" s="17" t="s">
        <v>172</v>
      </c>
      <c r="C86" s="31">
        <v>5</v>
      </c>
      <c r="D86" s="31" t="s">
        <v>92</v>
      </c>
      <c r="E86" s="31">
        <v>0</v>
      </c>
      <c r="F86" s="43" t="s">
        <v>93</v>
      </c>
      <c r="G86" s="37" t="s">
        <v>94</v>
      </c>
      <c r="H86" s="31"/>
      <c r="I86" s="37" t="s">
        <v>94</v>
      </c>
      <c r="J86" s="31"/>
    </row>
    <row r="87" spans="1:10">
      <c r="A87" s="31">
        <v>5</v>
      </c>
      <c r="B87" s="17" t="s">
        <v>173</v>
      </c>
      <c r="C87" s="31">
        <v>5</v>
      </c>
      <c r="D87" s="31" t="s">
        <v>92</v>
      </c>
      <c r="E87" s="31">
        <v>0</v>
      </c>
      <c r="F87" s="43" t="s">
        <v>93</v>
      </c>
      <c r="G87" s="37" t="s">
        <v>94</v>
      </c>
      <c r="H87" s="31"/>
      <c r="I87" s="37" t="s">
        <v>94</v>
      </c>
      <c r="J87" s="31"/>
    </row>
    <row r="88" spans="1:10">
      <c r="A88" s="31">
        <v>5</v>
      </c>
      <c r="B88" s="17" t="s">
        <v>174</v>
      </c>
      <c r="C88" s="31">
        <v>5</v>
      </c>
      <c r="D88" s="31" t="s">
        <v>92</v>
      </c>
      <c r="E88" s="31">
        <v>0</v>
      </c>
      <c r="F88" s="43" t="s">
        <v>93</v>
      </c>
      <c r="G88" s="37" t="s">
        <v>94</v>
      </c>
      <c r="H88" s="31"/>
      <c r="I88" s="37" t="s">
        <v>94</v>
      </c>
      <c r="J88" s="31"/>
    </row>
    <row r="89" spans="1:10">
      <c r="A89" s="31">
        <v>5</v>
      </c>
      <c r="B89" s="17" t="s">
        <v>175</v>
      </c>
      <c r="C89" s="31">
        <v>5</v>
      </c>
      <c r="D89" s="31" t="s">
        <v>92</v>
      </c>
      <c r="E89" s="31">
        <v>0</v>
      </c>
      <c r="F89" s="43" t="s">
        <v>93</v>
      </c>
      <c r="G89" s="37" t="s">
        <v>94</v>
      </c>
      <c r="H89" s="31"/>
      <c r="I89" s="37" t="s">
        <v>94</v>
      </c>
      <c r="J89" s="31"/>
    </row>
    <row r="90" spans="1:10">
      <c r="A90" s="31">
        <v>5</v>
      </c>
      <c r="B90" s="17" t="s">
        <v>176</v>
      </c>
      <c r="C90" s="31">
        <v>5</v>
      </c>
      <c r="D90" s="31" t="s">
        <v>92</v>
      </c>
      <c r="E90" s="31">
        <v>0</v>
      </c>
      <c r="F90" s="43" t="s">
        <v>93</v>
      </c>
      <c r="G90" s="37" t="s">
        <v>94</v>
      </c>
      <c r="H90" s="31"/>
      <c r="I90" s="37" t="s">
        <v>94</v>
      </c>
      <c r="J90" s="31"/>
    </row>
    <row r="91" spans="1:10">
      <c r="A91" s="31">
        <v>24</v>
      </c>
      <c r="B91" s="17" t="s">
        <v>177</v>
      </c>
      <c r="C91" s="31">
        <v>5</v>
      </c>
      <c r="D91" s="31" t="s">
        <v>92</v>
      </c>
      <c r="E91" s="31">
        <v>0</v>
      </c>
      <c r="F91" s="43" t="s">
        <v>93</v>
      </c>
      <c r="G91" s="37" t="s">
        <v>94</v>
      </c>
      <c r="H91" s="31"/>
      <c r="I91" s="37" t="s">
        <v>94</v>
      </c>
      <c r="J91" s="31"/>
    </row>
    <row r="92" spans="1:10">
      <c r="A92" s="31">
        <v>6</v>
      </c>
      <c r="B92" s="17" t="s">
        <v>178</v>
      </c>
      <c r="C92" s="31">
        <v>5</v>
      </c>
      <c r="D92" s="31" t="s">
        <v>92</v>
      </c>
      <c r="E92" s="31">
        <v>0</v>
      </c>
      <c r="F92" s="43" t="s">
        <v>93</v>
      </c>
      <c r="G92" s="37" t="s">
        <v>94</v>
      </c>
      <c r="H92" s="31"/>
      <c r="I92" s="37" t="s">
        <v>94</v>
      </c>
      <c r="J92" s="31"/>
    </row>
  </sheetData>
  <phoneticPr fontId="5"/>
  <hyperlinks>
    <hyperlink ref="F8:G91" r:id="rId1" display="aaa@email.com" xr:uid="{9B55E794-A0EC-4D77-BECA-627D28231AD5}"/>
    <hyperlink ref="I8:I91" r:id="rId2" display="aaa@email.com" xr:uid="{14666584-4662-47A4-A1CD-29D4B479B517}"/>
    <hyperlink ref="F92:G92" r:id="rId3" display="aaa@email.com" xr:uid="{E1AC7583-0B74-4184-BB3E-095E1D324097}"/>
    <hyperlink ref="I92" r:id="rId4" display="aaa@email.com" xr:uid="{778836BD-F400-445E-91CE-E61BB6E2EA49}"/>
    <hyperlink ref="F10:G10" r:id="rId5" display="aaa@email.com" xr:uid="{8AF321A0-1F01-4CDE-A1AE-8AC0B71AAE8B}"/>
    <hyperlink ref="I10" r:id="rId6" display="aaa@email.com" xr:uid="{FD589E5F-759A-40E6-872C-3861A0D15F0F}"/>
    <hyperlink ref="F12:G12" r:id="rId7" display="aaa@email.com" xr:uid="{0641EBFF-8502-4ED8-8413-A8130958DE8D}"/>
    <hyperlink ref="I12" r:id="rId8" display="aaa@email.com" xr:uid="{7D43AA4A-1956-4BC5-99DE-A512E50DA721}"/>
    <hyperlink ref="F13:G13" r:id="rId9" display="aaa@email.com" xr:uid="{6E1DF3A9-E528-4476-AB10-A1E33F1BA01C}"/>
    <hyperlink ref="I13" r:id="rId10" display="aaa@email.com" xr:uid="{E53835B7-1196-4D77-9EC3-9EF37E7AF54F}"/>
    <hyperlink ref="F13:G13" r:id="rId11" display="aaa@email.com" xr:uid="{132490F2-244D-4620-8185-67250FB7AE3E}"/>
    <hyperlink ref="I13" r:id="rId12" display="aaa@email.com" xr:uid="{BBF08A60-84DB-46E0-A319-F4262EF3A8AE}"/>
    <hyperlink ref="F15:G15" r:id="rId13" display="aaa@email.com" xr:uid="{9C3E3E9E-2167-48E7-A424-F9D637F2461B}"/>
    <hyperlink ref="I15" r:id="rId14" display="aaa@email.com" xr:uid="{D74BB47D-290D-46B6-99FD-D1BE78590DD6}"/>
    <hyperlink ref="F16:G16" r:id="rId15" display="aaa@email.com" xr:uid="{29ABC6F2-680F-4CF7-8D4C-9CDE706F2387}"/>
    <hyperlink ref="I16" r:id="rId16" display="aaa@email.com" xr:uid="{FF967FCC-1453-40BA-9B1D-807663B5B33F}"/>
    <hyperlink ref="F16:G16" r:id="rId17" display="aaa@email.com" xr:uid="{79CD5286-A771-41E5-B7CF-2C24C5D1700E}"/>
    <hyperlink ref="I16" r:id="rId18" display="aaa@email.com" xr:uid="{EBF12ADD-3207-4866-AEEB-AE2E0989A225}"/>
    <hyperlink ref="F17:G17" r:id="rId19" display="aaa@email.com" xr:uid="{3F1DA74B-F497-4B3B-9FD5-99F03EDCD1A3}"/>
    <hyperlink ref="I17" r:id="rId20" display="aaa@email.com" xr:uid="{FE7A75F0-D91F-456D-AF9C-F27C1F8EAA30}"/>
    <hyperlink ref="F17:G17" r:id="rId21" display="aaa@email.com" xr:uid="{D67D260F-4C6D-426F-87EC-7994CF8FA564}"/>
    <hyperlink ref="I17" r:id="rId22" display="aaa@email.com" xr:uid="{DD303A56-6D65-4DDE-809F-E0836E12644B}"/>
    <hyperlink ref="F17:G17" r:id="rId23" display="aaa@email.com" xr:uid="{1910956C-5DE0-4ADB-A774-9521F5B44B06}"/>
    <hyperlink ref="I17" r:id="rId24" display="aaa@email.com" xr:uid="{EE9E98B2-A697-4B35-A368-08821C57145B}"/>
    <hyperlink ref="F19:G19" r:id="rId25" display="aaa@email.com" xr:uid="{BA5DA27A-AC0B-4859-BA81-40D92E9EBFAF}"/>
    <hyperlink ref="I19" r:id="rId26" display="aaa@email.com" xr:uid="{C35B31B9-9D77-401C-AA9F-F13296D91A8E}"/>
    <hyperlink ref="F20:G20" r:id="rId27" display="aaa@email.com" xr:uid="{63C35021-F6E8-4928-9F23-7F5EEA036D07}"/>
    <hyperlink ref="I20" r:id="rId28" display="aaa@email.com" xr:uid="{0F232C83-A0DD-43E8-AD38-7E711A862443}"/>
    <hyperlink ref="F20:G20" r:id="rId29" display="aaa@email.com" xr:uid="{B4505FAF-08B4-4FF4-9B11-F1CA6905E29D}"/>
    <hyperlink ref="I20" r:id="rId30" display="aaa@email.com" xr:uid="{039D7BF9-BC4A-4A9B-8C39-E095AB9A1BE8}"/>
    <hyperlink ref="F21:G21" r:id="rId31" display="aaa@email.com" xr:uid="{349D4451-32C1-4DEA-8580-52D92E353FFC}"/>
    <hyperlink ref="I21" r:id="rId32" display="aaa@email.com" xr:uid="{7DDEEE67-C88B-46B4-B92A-2B247202BA99}"/>
    <hyperlink ref="F21:G21" r:id="rId33" display="aaa@email.com" xr:uid="{F183A620-D6C6-4C7D-94D0-A0ABADF2546C}"/>
    <hyperlink ref="I21" r:id="rId34" display="aaa@email.com" xr:uid="{902EB17B-37DA-46B0-816A-11407255B29F}"/>
    <hyperlink ref="F21:G21" r:id="rId35" display="aaa@email.com" xr:uid="{5048C5CB-EFF2-4C4D-AA33-D7A49D0BCEC0}"/>
    <hyperlink ref="I21" r:id="rId36" display="aaa@email.com" xr:uid="{70139518-C73B-4218-A7BA-7E8CD77BA754}"/>
    <hyperlink ref="F22:G25" r:id="rId37" display="aaa@email.com" xr:uid="{02B41819-23E3-4BA0-9F35-1B4C60A8DC2F}"/>
    <hyperlink ref="I22:I25" r:id="rId38" display="aaa@email.com" xr:uid="{B5F5EE21-4CDC-4050-BB63-A17D4996D605}"/>
    <hyperlink ref="F23:G23" r:id="rId39" display="aaa@email.com" xr:uid="{B6F728F2-487A-4E71-879D-79855575F4DF}"/>
    <hyperlink ref="I23" r:id="rId40" display="aaa@email.com" xr:uid="{563C4F4D-EE03-456F-AAAE-78D0484B82DE}"/>
    <hyperlink ref="F24:G24" r:id="rId41" display="aaa@email.com" xr:uid="{F55A740F-AEA6-47DE-BECE-9D07407CB92C}"/>
    <hyperlink ref="I24" r:id="rId42" display="aaa@email.com" xr:uid="{084CF1AA-4E6F-4597-9FCC-59445DB78867}"/>
    <hyperlink ref="F24:G24" r:id="rId43" display="aaa@email.com" xr:uid="{C9C8AB4D-E557-47D8-97BA-79A4A5324137}"/>
    <hyperlink ref="I24" r:id="rId44" display="aaa@email.com" xr:uid="{3F6D7631-7D47-459C-BCA5-84803863083F}"/>
    <hyperlink ref="F25:G25" r:id="rId45" display="aaa@email.com" xr:uid="{1D55AA00-EE40-439F-B368-BBB6B0371E5B}"/>
    <hyperlink ref="I25" r:id="rId46" display="aaa@email.com" xr:uid="{A2497C4F-F1F7-4846-9427-0D269457D638}"/>
    <hyperlink ref="F25:G25" r:id="rId47" display="aaa@email.com" xr:uid="{222B9E1C-BB58-4306-9194-2278AE953957}"/>
    <hyperlink ref="I25" r:id="rId48" display="aaa@email.com" xr:uid="{89D59011-E84E-49D9-B8E7-A994EF47B9BB}"/>
    <hyperlink ref="F25:G25" r:id="rId49" display="aaa@email.com" xr:uid="{B449E60C-3C1F-49BC-8242-CC6F43ABEA71}"/>
    <hyperlink ref="I25" r:id="rId50" display="aaa@email.com" xr:uid="{82F046CA-4800-42BC-98BB-4EA26D4245D7}"/>
    <hyperlink ref="F26:G29" r:id="rId51" display="aaa@email.com" xr:uid="{F182BBE4-8668-4857-A489-99E407CA1A6B}"/>
    <hyperlink ref="I26:I29" r:id="rId52" display="aaa@email.com" xr:uid="{3B636A27-8938-4EC8-9E48-7EC91753057E}"/>
    <hyperlink ref="F26:G29" r:id="rId53" display="aaa@email.com" xr:uid="{A841AC45-6788-4C74-90E0-0559001D589F}"/>
    <hyperlink ref="I26:I29" r:id="rId54" display="aaa@email.com" xr:uid="{5845BFD9-AF9B-4E01-B5C4-AF507C4C157C}"/>
    <hyperlink ref="F27:G27" r:id="rId55" display="aaa@email.com" xr:uid="{2424E182-54D1-4138-AFA4-9C0AC2623000}"/>
    <hyperlink ref="I27" r:id="rId56" display="aaa@email.com" xr:uid="{1193FE40-C79D-4A9A-B4F0-824D80D5C8CA}"/>
    <hyperlink ref="F28:G28" r:id="rId57" display="aaa@email.com" xr:uid="{BDB330AA-84DC-49CC-8983-2D846D73ACBB}"/>
    <hyperlink ref="I28" r:id="rId58" display="aaa@email.com" xr:uid="{BFBF6B60-9E60-45F3-8EC1-FA265C74DEB4}"/>
    <hyperlink ref="F28:G28" r:id="rId59" display="aaa@email.com" xr:uid="{E8ED4B76-A7C2-4223-A379-6080C4A092BD}"/>
    <hyperlink ref="I28" r:id="rId60" display="aaa@email.com" xr:uid="{7C205D8B-8D18-4FE9-8DE4-CE68D3922263}"/>
    <hyperlink ref="F29:G29" r:id="rId61" display="aaa@email.com" xr:uid="{2168DC76-3502-474D-8BA5-0655E2DF75A4}"/>
    <hyperlink ref="I29" r:id="rId62" display="aaa@email.com" xr:uid="{89653E9D-956E-4346-8C8A-FCCB6B44AA6D}"/>
    <hyperlink ref="F29:G29" r:id="rId63" display="aaa@email.com" xr:uid="{B3436A84-6341-4F4F-ACC5-CEFCBDCA2EAD}"/>
    <hyperlink ref="I29" r:id="rId64" display="aaa@email.com" xr:uid="{30197158-B2D3-42FF-8B37-C31C4FC7BC96}"/>
    <hyperlink ref="F29:G29" r:id="rId65" display="aaa@email.com" xr:uid="{45B1E512-FBEE-497B-A380-7EB5768710A1}"/>
    <hyperlink ref="I29" r:id="rId66" display="aaa@email.com" xr:uid="{60822135-CCC8-48E8-B4F1-61D1ABDE2244}"/>
    <hyperlink ref="F22:F92" r:id="rId67" display="sys-a@email.com" xr:uid="{8CD11921-B492-4635-B49F-7C0604A59A9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8AF29-5194-452A-B36D-2814B7619C75}">
  <sheetPr codeName="Sheet7">
    <tabColor theme="9" tint="0.59999389629810485"/>
  </sheetPr>
  <dimension ref="A3:O13"/>
  <sheetViews>
    <sheetView zoomScale="70" zoomScaleNormal="70" workbookViewId="0">
      <selection activeCell="D22" sqref="D22"/>
    </sheetView>
  </sheetViews>
  <sheetFormatPr defaultRowHeight="18"/>
  <cols>
    <col min="1" max="1" width="21.125" customWidth="1"/>
    <col min="2" max="2" width="10.75" bestFit="1" customWidth="1"/>
    <col min="3" max="3" width="18.75" customWidth="1"/>
    <col min="4" max="4" width="17.375" customWidth="1"/>
    <col min="5" max="5" width="14.5" bestFit="1" customWidth="1"/>
    <col min="6" max="6" width="14.125" bestFit="1" customWidth="1"/>
    <col min="7" max="7" width="16" bestFit="1" customWidth="1"/>
    <col min="8" max="8" width="17.25" customWidth="1"/>
    <col min="9" max="9" width="12.25" bestFit="1" customWidth="1"/>
    <col min="10" max="10" width="10.375" bestFit="1" customWidth="1"/>
    <col min="11" max="11" width="13.75" bestFit="1" customWidth="1"/>
    <col min="13" max="13" width="13.75" bestFit="1" customWidth="1"/>
    <col min="16" max="16" width="6.5" customWidth="1"/>
    <col min="17" max="17" width="11.5" bestFit="1" customWidth="1"/>
    <col min="18" max="18" width="25" customWidth="1"/>
    <col min="19" max="19" width="11.375" bestFit="1" customWidth="1"/>
    <col min="20" max="20" width="27.75" customWidth="1"/>
    <col min="21" max="21" width="10.375" bestFit="1" customWidth="1"/>
    <col min="22" max="23" width="13.75" bestFit="1" customWidth="1"/>
    <col min="25" max="25" width="13.75" bestFit="1" customWidth="1"/>
  </cols>
  <sheetData>
    <row r="3" spans="1:15">
      <c r="L3" t="s">
        <v>179</v>
      </c>
      <c r="M3" s="39">
        <v>1</v>
      </c>
      <c r="N3" s="39" t="s">
        <v>180</v>
      </c>
    </row>
    <row r="4" spans="1:15">
      <c r="A4" s="44" t="s">
        <v>181</v>
      </c>
      <c r="B4" s="44" t="s">
        <v>182</v>
      </c>
      <c r="M4" s="39">
        <v>2</v>
      </c>
      <c r="N4" s="39" t="s">
        <v>183</v>
      </c>
    </row>
    <row r="5" spans="1:15">
      <c r="A5" t="s">
        <v>184</v>
      </c>
      <c r="M5" s="39">
        <v>3</v>
      </c>
      <c r="N5" s="39" t="s">
        <v>185</v>
      </c>
    </row>
    <row r="6" spans="1:15">
      <c r="A6" s="15" t="s">
        <v>186</v>
      </c>
      <c r="B6" s="15" t="s">
        <v>187</v>
      </c>
      <c r="C6" s="15" t="s">
        <v>188</v>
      </c>
      <c r="D6" s="15" t="s">
        <v>189</v>
      </c>
      <c r="E6" s="15" t="s">
        <v>190</v>
      </c>
      <c r="F6" s="15" t="s">
        <v>191</v>
      </c>
      <c r="G6" s="15" t="s">
        <v>192</v>
      </c>
      <c r="H6" s="15" t="s">
        <v>193</v>
      </c>
      <c r="I6" s="15" t="s">
        <v>194</v>
      </c>
      <c r="J6" s="15" t="s">
        <v>195</v>
      </c>
      <c r="K6" s="15" t="s">
        <v>196</v>
      </c>
      <c r="L6" s="15" t="s">
        <v>197</v>
      </c>
      <c r="M6" s="15" t="s">
        <v>198</v>
      </c>
      <c r="N6" s="15" t="s">
        <v>199</v>
      </c>
      <c r="O6" s="15" t="s">
        <v>200</v>
      </c>
    </row>
    <row r="7" spans="1:15">
      <c r="A7" s="16" t="s">
        <v>186</v>
      </c>
      <c r="B7" s="16" t="s">
        <v>201</v>
      </c>
      <c r="C7" s="16" t="s">
        <v>202</v>
      </c>
      <c r="D7" s="16" t="s">
        <v>203</v>
      </c>
      <c r="E7" s="16" t="s">
        <v>204</v>
      </c>
      <c r="F7" s="16" t="s">
        <v>205</v>
      </c>
      <c r="G7" s="16" t="s">
        <v>206</v>
      </c>
      <c r="H7" s="16" t="s">
        <v>207</v>
      </c>
      <c r="I7" s="16" t="s">
        <v>208</v>
      </c>
      <c r="J7" s="16" t="s">
        <v>85</v>
      </c>
      <c r="K7" s="16" t="s">
        <v>209</v>
      </c>
      <c r="L7" s="16" t="s">
        <v>87</v>
      </c>
      <c r="M7" s="16" t="s">
        <v>88</v>
      </c>
      <c r="N7" s="16" t="s">
        <v>89</v>
      </c>
      <c r="O7" s="16" t="s">
        <v>90</v>
      </c>
    </row>
    <row r="8" spans="1:15">
      <c r="A8" s="17" t="s">
        <v>210</v>
      </c>
      <c r="B8" s="30">
        <v>1</v>
      </c>
      <c r="C8" s="31" t="s">
        <v>180</v>
      </c>
      <c r="D8" s="31" t="s">
        <v>211</v>
      </c>
      <c r="E8" s="31">
        <v>1</v>
      </c>
      <c r="F8" s="30">
        <v>1112222</v>
      </c>
      <c r="G8" s="30" t="s">
        <v>212</v>
      </c>
      <c r="H8" s="30">
        <v>11122223333</v>
      </c>
      <c r="I8" s="30">
        <v>22233334444</v>
      </c>
      <c r="J8" s="31">
        <v>0</v>
      </c>
      <c r="K8" s="31"/>
      <c r="L8" s="43" t="s">
        <v>213</v>
      </c>
      <c r="M8" s="40">
        <v>45831</v>
      </c>
      <c r="N8" s="43" t="s">
        <v>213</v>
      </c>
      <c r="O8" s="40">
        <v>45831</v>
      </c>
    </row>
    <row r="9" spans="1:15">
      <c r="A9" s="17" t="s">
        <v>214</v>
      </c>
      <c r="B9" s="30">
        <v>2</v>
      </c>
      <c r="C9" s="31" t="s">
        <v>215</v>
      </c>
      <c r="D9" s="31" t="s">
        <v>216</v>
      </c>
      <c r="E9" s="31">
        <v>2</v>
      </c>
      <c r="F9" s="30">
        <v>3334444</v>
      </c>
      <c r="G9" s="30" t="s">
        <v>217</v>
      </c>
      <c r="H9" s="30">
        <v>33344445555</v>
      </c>
      <c r="I9" s="30">
        <v>44455556666</v>
      </c>
      <c r="J9" s="31">
        <v>0</v>
      </c>
      <c r="K9" s="31"/>
      <c r="L9" s="43" t="s">
        <v>213</v>
      </c>
      <c r="M9" s="40">
        <v>45831</v>
      </c>
      <c r="N9" s="43" t="s">
        <v>213</v>
      </c>
      <c r="O9" s="40">
        <v>45831</v>
      </c>
    </row>
    <row r="10" spans="1:15">
      <c r="A10" s="17" t="s">
        <v>96</v>
      </c>
      <c r="B10" s="30">
        <v>3</v>
      </c>
      <c r="C10" s="31" t="s">
        <v>218</v>
      </c>
      <c r="D10" s="31" t="s">
        <v>219</v>
      </c>
      <c r="E10" s="31">
        <v>3</v>
      </c>
      <c r="F10" s="30">
        <v>5556666</v>
      </c>
      <c r="G10" s="30" t="s">
        <v>212</v>
      </c>
      <c r="H10" s="30">
        <v>55566667777</v>
      </c>
      <c r="I10" s="30">
        <v>66677778888</v>
      </c>
      <c r="J10" s="31">
        <v>0</v>
      </c>
      <c r="K10" s="31"/>
      <c r="L10" s="43" t="s">
        <v>213</v>
      </c>
      <c r="M10" s="40">
        <v>45831</v>
      </c>
      <c r="N10" s="43" t="s">
        <v>213</v>
      </c>
      <c r="O10" s="40">
        <v>45831</v>
      </c>
    </row>
    <row r="11" spans="1:15">
      <c r="A11" s="17"/>
      <c r="B11" s="30"/>
      <c r="C11" s="31"/>
      <c r="D11" s="31"/>
      <c r="E11" s="31"/>
      <c r="F11" s="30"/>
      <c r="G11" s="30"/>
      <c r="H11" s="30"/>
      <c r="I11" s="30"/>
      <c r="J11" s="31"/>
      <c r="K11" s="31"/>
      <c r="L11" s="31"/>
      <c r="M11" s="31"/>
      <c r="N11" s="31"/>
      <c r="O11" s="31"/>
    </row>
    <row r="12" spans="1:15">
      <c r="A12" s="17"/>
      <c r="B12" s="30"/>
      <c r="C12" s="31"/>
      <c r="D12" s="31"/>
      <c r="E12" s="31"/>
      <c r="F12" s="30"/>
      <c r="G12" s="30"/>
      <c r="H12" s="30"/>
      <c r="I12" s="30"/>
      <c r="J12" s="31"/>
      <c r="K12" s="31"/>
      <c r="L12" s="31"/>
      <c r="M12" s="31"/>
      <c r="N12" s="31"/>
      <c r="O12" s="31"/>
    </row>
    <row r="13" spans="1:15">
      <c r="A13" s="17"/>
      <c r="B13" s="30"/>
      <c r="C13" s="31"/>
      <c r="D13" s="31"/>
      <c r="E13" s="31"/>
      <c r="F13" s="30"/>
      <c r="G13" s="30"/>
      <c r="H13" s="30"/>
      <c r="I13" s="30"/>
      <c r="J13" s="31"/>
      <c r="K13" s="31"/>
      <c r="L13" s="31"/>
      <c r="M13" s="31"/>
      <c r="N13" s="31"/>
      <c r="O13" s="31"/>
    </row>
  </sheetData>
  <phoneticPr fontId="5"/>
  <hyperlinks>
    <hyperlink ref="N8:N10" r:id="rId1" display="sys-b@email.com" xr:uid="{65DC044E-74BB-4277-B9FD-A6AA5D7959D0}"/>
    <hyperlink ref="L8:L10" r:id="rId2" display="sys-b@email.com" xr:uid="{9DD79CC8-ABE4-48EE-B42F-2CE06F5B861C}"/>
  </hyperlinks>
  <pageMargins left="0.7" right="0.7" top="0.75" bottom="0.75" header="0.3" footer="0.3"/>
  <drawing r:id="rId3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5A2C0-1EDD-4F42-8E89-E09821D53C72}">
  <sheetPr codeName="Sheet8">
    <tabColor theme="9" tint="0.59999389629810485"/>
  </sheetPr>
  <dimension ref="A4:J16"/>
  <sheetViews>
    <sheetView zoomScale="70" zoomScaleNormal="70" workbookViewId="0">
      <selection activeCell="C12" sqref="C12:D12"/>
    </sheetView>
  </sheetViews>
  <sheetFormatPr defaultRowHeight="18"/>
  <cols>
    <col min="1" max="1" width="21.125" customWidth="1"/>
    <col min="2" max="2" width="10.75" bestFit="1" customWidth="1"/>
    <col min="3" max="3" width="18.75" customWidth="1"/>
    <col min="4" max="4" width="17.375" customWidth="1"/>
    <col min="5" max="5" width="14.5" bestFit="1" customWidth="1"/>
    <col min="6" max="6" width="14.125" bestFit="1" customWidth="1"/>
    <col min="7" max="7" width="16" bestFit="1" customWidth="1"/>
    <col min="8" max="8" width="8.875" bestFit="1" customWidth="1"/>
    <col min="9" max="9" width="12.25" bestFit="1" customWidth="1"/>
    <col min="10" max="10" width="10.375" bestFit="1" customWidth="1"/>
    <col min="11" max="11" width="13.75" bestFit="1" customWidth="1"/>
    <col min="13" max="13" width="13.75" bestFit="1" customWidth="1"/>
    <col min="16" max="16" width="6.5" customWidth="1"/>
    <col min="17" max="17" width="11.5" bestFit="1" customWidth="1"/>
    <col min="18" max="18" width="25" customWidth="1"/>
    <col min="19" max="19" width="11.375" bestFit="1" customWidth="1"/>
    <col min="20" max="20" width="27.75" customWidth="1"/>
    <col min="21" max="21" width="10.375" bestFit="1" customWidth="1"/>
    <col min="22" max="23" width="13.75" bestFit="1" customWidth="1"/>
    <col min="25" max="25" width="13.75" bestFit="1" customWidth="1"/>
  </cols>
  <sheetData>
    <row r="4" spans="1:10" ht="22.5">
      <c r="A4" s="20" t="s">
        <v>220</v>
      </c>
    </row>
    <row r="5" spans="1:10">
      <c r="A5" t="s">
        <v>184</v>
      </c>
    </row>
    <row r="6" spans="1:10">
      <c r="A6" t="s">
        <v>221</v>
      </c>
    </row>
    <row r="7" spans="1:10">
      <c r="A7" t="s">
        <v>222</v>
      </c>
    </row>
    <row r="9" spans="1:10">
      <c r="A9" s="15" t="s">
        <v>186</v>
      </c>
      <c r="B9" s="15" t="s">
        <v>223</v>
      </c>
      <c r="C9" s="15" t="s">
        <v>187</v>
      </c>
      <c r="D9" s="15" t="s">
        <v>224</v>
      </c>
      <c r="E9" s="15" t="s">
        <v>195</v>
      </c>
      <c r="F9" s="15" t="s">
        <v>196</v>
      </c>
      <c r="G9" s="15" t="s">
        <v>197</v>
      </c>
      <c r="H9" s="15" t="s">
        <v>198</v>
      </c>
      <c r="I9" s="15" t="s">
        <v>199</v>
      </c>
      <c r="J9" s="15" t="s">
        <v>200</v>
      </c>
    </row>
    <row r="10" spans="1:10" ht="18.600000000000001" thickBot="1">
      <c r="A10" s="16"/>
      <c r="B10" s="16"/>
      <c r="C10" s="16"/>
      <c r="D10" s="16"/>
      <c r="E10" s="16"/>
      <c r="F10" s="16"/>
      <c r="G10" s="16"/>
      <c r="H10" s="16"/>
      <c r="I10" s="16"/>
      <c r="J10" s="16"/>
    </row>
    <row r="11" spans="1:10" ht="18.600000000000001" thickTop="1">
      <c r="A11" s="17" t="s">
        <v>225</v>
      </c>
      <c r="B11" s="30">
        <v>1</v>
      </c>
      <c r="C11" s="31">
        <v>1</v>
      </c>
      <c r="D11" s="31" t="s">
        <v>226</v>
      </c>
      <c r="E11" s="31">
        <v>0</v>
      </c>
      <c r="F11" s="31"/>
      <c r="G11" s="43" t="s">
        <v>213</v>
      </c>
      <c r="H11" s="40">
        <v>45831</v>
      </c>
      <c r="I11" s="43" t="s">
        <v>213</v>
      </c>
      <c r="J11" s="40">
        <v>45831</v>
      </c>
    </row>
    <row r="12" spans="1:10">
      <c r="A12" s="17" t="s">
        <v>98</v>
      </c>
      <c r="B12" s="30">
        <v>2</v>
      </c>
      <c r="C12" s="31">
        <v>2</v>
      </c>
      <c r="D12" s="31" t="s">
        <v>227</v>
      </c>
      <c r="E12" s="31">
        <v>0</v>
      </c>
      <c r="F12" s="31"/>
      <c r="G12" s="43" t="s">
        <v>213</v>
      </c>
      <c r="H12" s="40">
        <v>45831</v>
      </c>
      <c r="I12" s="43" t="s">
        <v>213</v>
      </c>
      <c r="J12" s="40">
        <v>45831</v>
      </c>
    </row>
    <row r="13" spans="1:10">
      <c r="A13" s="17" t="s">
        <v>99</v>
      </c>
      <c r="B13" s="30">
        <v>3</v>
      </c>
      <c r="C13" s="31">
        <v>3</v>
      </c>
      <c r="D13" s="31" t="s">
        <v>228</v>
      </c>
      <c r="E13" s="31">
        <v>0</v>
      </c>
      <c r="F13" s="31"/>
      <c r="G13" s="43" t="s">
        <v>213</v>
      </c>
      <c r="H13" s="40">
        <v>45831</v>
      </c>
      <c r="I13" s="43" t="s">
        <v>213</v>
      </c>
      <c r="J13" s="40">
        <v>45831</v>
      </c>
    </row>
    <row r="14" spans="1:10">
      <c r="A14" s="17"/>
      <c r="B14" s="30"/>
      <c r="C14" s="31"/>
      <c r="D14" s="31"/>
      <c r="E14" s="31"/>
      <c r="F14" s="31"/>
      <c r="G14" s="31"/>
      <c r="H14" s="31"/>
      <c r="I14" s="31"/>
      <c r="J14" s="31"/>
    </row>
    <row r="15" spans="1:10">
      <c r="A15" s="17"/>
      <c r="B15" s="30"/>
      <c r="C15" s="31"/>
      <c r="D15" s="31"/>
      <c r="E15" s="31"/>
      <c r="F15" s="31"/>
      <c r="G15" s="31"/>
      <c r="H15" s="31"/>
      <c r="I15" s="31"/>
      <c r="J15" s="31"/>
    </row>
    <row r="16" spans="1:10">
      <c r="A16" s="17"/>
      <c r="B16" s="30"/>
      <c r="C16" s="31"/>
      <c r="D16" s="31"/>
      <c r="E16" s="31"/>
      <c r="F16" s="31"/>
      <c r="G16" s="31"/>
      <c r="H16" s="31"/>
      <c r="I16" s="31"/>
      <c r="J16" s="31"/>
    </row>
  </sheetData>
  <phoneticPr fontId="5"/>
  <hyperlinks>
    <hyperlink ref="I11:I13" r:id="rId1" display="sys-b@email.com" xr:uid="{18F2A9D6-7D20-4F3A-86DE-5A5B2AD87DE2}"/>
    <hyperlink ref="G11:G13" r:id="rId2" display="sys-b@email.com" xr:uid="{AB78B262-8548-4582-BE42-C6DD2DD930AF}"/>
  </hyperlinks>
  <pageMargins left="0.7" right="0.7" top="0.75" bottom="0.75" header="0.3" footer="0.3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9C72B-A010-4EC2-99AC-9F4328E8E7F7}">
  <sheetPr codeName="Sheet9">
    <tabColor theme="9" tint="0.59999389629810485"/>
  </sheetPr>
  <dimension ref="A4:I16"/>
  <sheetViews>
    <sheetView zoomScale="70" zoomScaleNormal="70" workbookViewId="0">
      <selection activeCell="B11" sqref="B11:C11"/>
    </sheetView>
  </sheetViews>
  <sheetFormatPr defaultRowHeight="18"/>
  <cols>
    <col min="1" max="1" width="21.125" customWidth="1"/>
    <col min="2" max="2" width="10.75" bestFit="1" customWidth="1"/>
    <col min="3" max="3" width="25.5" customWidth="1"/>
    <col min="4" max="4" width="17.375" customWidth="1"/>
    <col min="5" max="5" width="14.5" bestFit="1" customWidth="1"/>
    <col min="6" max="6" width="14.125" bestFit="1" customWidth="1"/>
    <col min="7" max="7" width="16" bestFit="1" customWidth="1"/>
    <col min="8" max="8" width="8.875" bestFit="1" customWidth="1"/>
    <col min="9" max="9" width="12.25" bestFit="1" customWidth="1"/>
    <col min="10" max="10" width="10.375" bestFit="1" customWidth="1"/>
    <col min="11" max="11" width="13.75" bestFit="1" customWidth="1"/>
    <col min="13" max="13" width="13.75" bestFit="1" customWidth="1"/>
    <col min="16" max="16" width="6.5" customWidth="1"/>
    <col min="17" max="17" width="11.5" bestFit="1" customWidth="1"/>
    <col min="18" max="18" width="25" customWidth="1"/>
    <col min="19" max="19" width="11.375" bestFit="1" customWidth="1"/>
    <col min="20" max="20" width="27.75" customWidth="1"/>
    <col min="21" max="21" width="10.375" bestFit="1" customWidth="1"/>
    <col min="22" max="23" width="13.75" bestFit="1" customWidth="1"/>
    <col min="25" max="25" width="13.75" bestFit="1" customWidth="1"/>
  </cols>
  <sheetData>
    <row r="4" spans="1:9" ht="22.5">
      <c r="A4" s="20" t="s">
        <v>229</v>
      </c>
    </row>
    <row r="5" spans="1:9">
      <c r="A5" t="s">
        <v>184</v>
      </c>
    </row>
    <row r="6" spans="1:9">
      <c r="A6" t="s">
        <v>230</v>
      </c>
    </row>
    <row r="7" spans="1:9">
      <c r="A7" t="s">
        <v>231</v>
      </c>
    </row>
    <row r="9" spans="1:9">
      <c r="A9" s="15" t="s">
        <v>186</v>
      </c>
      <c r="B9" s="15" t="s">
        <v>232</v>
      </c>
      <c r="C9" s="15" t="s">
        <v>233</v>
      </c>
      <c r="D9" s="15" t="s">
        <v>195</v>
      </c>
      <c r="E9" s="15" t="s">
        <v>196</v>
      </c>
      <c r="F9" s="15" t="s">
        <v>197</v>
      </c>
      <c r="G9" s="15" t="s">
        <v>198</v>
      </c>
      <c r="H9" s="15" t="s">
        <v>199</v>
      </c>
      <c r="I9" s="15" t="s">
        <v>200</v>
      </c>
    </row>
    <row r="10" spans="1:9" ht="18.600000000000001" thickBot="1">
      <c r="A10" s="16"/>
      <c r="B10" s="16"/>
      <c r="C10" s="16"/>
      <c r="D10" s="16"/>
      <c r="E10" s="16"/>
      <c r="F10" s="16"/>
      <c r="G10" s="16"/>
      <c r="H10" s="16"/>
      <c r="I10" s="16"/>
    </row>
    <row r="11" spans="1:9" ht="18.600000000000001" thickTop="1">
      <c r="A11" s="17" t="s">
        <v>234</v>
      </c>
      <c r="B11" s="30">
        <v>1</v>
      </c>
      <c r="C11" s="31" t="s">
        <v>235</v>
      </c>
      <c r="D11" s="31">
        <v>0</v>
      </c>
      <c r="E11" s="31"/>
      <c r="F11" s="43" t="s">
        <v>213</v>
      </c>
      <c r="G11" s="40">
        <v>45831</v>
      </c>
      <c r="H11" s="43" t="s">
        <v>213</v>
      </c>
      <c r="I11" s="40">
        <v>45831</v>
      </c>
    </row>
    <row r="12" spans="1:9">
      <c r="A12" s="17" t="s">
        <v>101</v>
      </c>
      <c r="B12" s="30">
        <v>2</v>
      </c>
      <c r="C12" s="31" t="s">
        <v>236</v>
      </c>
      <c r="D12" s="31">
        <v>0</v>
      </c>
      <c r="E12" s="31"/>
      <c r="F12" s="43" t="s">
        <v>213</v>
      </c>
      <c r="G12" s="40">
        <v>45831</v>
      </c>
      <c r="H12" s="43" t="s">
        <v>213</v>
      </c>
      <c r="I12" s="40">
        <v>45831</v>
      </c>
    </row>
    <row r="13" spans="1:9">
      <c r="A13" s="17" t="s">
        <v>102</v>
      </c>
      <c r="B13" s="30">
        <v>3</v>
      </c>
      <c r="C13" s="31" t="s">
        <v>237</v>
      </c>
      <c r="D13" s="31">
        <v>0</v>
      </c>
      <c r="E13" s="31"/>
      <c r="F13" s="43" t="s">
        <v>213</v>
      </c>
      <c r="G13" s="40">
        <v>45831</v>
      </c>
      <c r="H13" s="43" t="s">
        <v>213</v>
      </c>
      <c r="I13" s="40">
        <v>45831</v>
      </c>
    </row>
    <row r="14" spans="1:9">
      <c r="A14" s="17" t="s">
        <v>103</v>
      </c>
      <c r="B14" s="30">
        <v>4</v>
      </c>
      <c r="C14" s="31" t="s">
        <v>238</v>
      </c>
      <c r="D14" s="31">
        <v>0</v>
      </c>
      <c r="E14" s="31"/>
      <c r="F14" s="43" t="s">
        <v>213</v>
      </c>
      <c r="G14" s="40">
        <v>45831</v>
      </c>
      <c r="H14" s="43" t="s">
        <v>213</v>
      </c>
      <c r="I14" s="40">
        <v>45831</v>
      </c>
    </row>
    <row r="15" spans="1:9">
      <c r="A15" s="17"/>
      <c r="B15" s="30"/>
      <c r="C15" s="31"/>
      <c r="D15" s="31"/>
      <c r="E15" s="31"/>
      <c r="F15" s="31"/>
      <c r="G15" s="31"/>
      <c r="H15" s="31"/>
      <c r="I15" s="31"/>
    </row>
    <row r="16" spans="1:9">
      <c r="A16" s="17"/>
      <c r="B16" s="30"/>
      <c r="C16" s="31"/>
      <c r="D16" s="31"/>
      <c r="E16" s="31"/>
      <c r="F16" s="31"/>
      <c r="G16" s="31"/>
      <c r="H16" s="31"/>
      <c r="I16" s="31"/>
    </row>
  </sheetData>
  <phoneticPr fontId="5"/>
  <hyperlinks>
    <hyperlink ref="H11:H14" r:id="rId1" display="sys-b@email.com" xr:uid="{09B6FF08-3596-4FF7-8296-955858B17A4E}"/>
    <hyperlink ref="F11:F14" r:id="rId2" display="sys-b@email.com" xr:uid="{923FF665-B4F0-4814-AD16-1795817179FC}"/>
  </hyperlinks>
  <pageMargins left="0.7" right="0.7" top="0.75" bottom="0.75" header="0.3" footer="0.3"/>
  <drawing r:id="rId3"/>
  <legacy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0541E-5839-4433-A6A3-55B0CA7B78AB}">
  <sheetPr codeName="Sheet10">
    <tabColor theme="9" tint="0.59999389629810485"/>
  </sheetPr>
  <dimension ref="A4:J182"/>
  <sheetViews>
    <sheetView zoomScale="85" zoomScaleNormal="85" workbookViewId="0">
      <selection activeCell="C36" sqref="C36"/>
    </sheetView>
  </sheetViews>
  <sheetFormatPr defaultRowHeight="18"/>
  <cols>
    <col min="1" max="1" width="21.125" customWidth="1"/>
    <col min="2" max="2" width="24.875" customWidth="1"/>
    <col min="3" max="3" width="18.75" customWidth="1"/>
    <col min="4" max="4" width="17.375" customWidth="1"/>
    <col min="5" max="5" width="14.5" bestFit="1" customWidth="1"/>
    <col min="6" max="6" width="14.125" bestFit="1" customWidth="1"/>
    <col min="7" max="7" width="16" bestFit="1" customWidth="1"/>
    <col min="8" max="8" width="8.875" bestFit="1" customWidth="1"/>
    <col min="9" max="9" width="12.25" bestFit="1" customWidth="1"/>
    <col min="10" max="10" width="10.375" bestFit="1" customWidth="1"/>
    <col min="11" max="11" width="13.75" bestFit="1" customWidth="1"/>
    <col min="13" max="13" width="13.75" bestFit="1" customWidth="1"/>
    <col min="16" max="16" width="6.5" customWidth="1"/>
    <col min="17" max="17" width="11.5" bestFit="1" customWidth="1"/>
    <col min="18" max="18" width="25" customWidth="1"/>
    <col min="19" max="19" width="11.375" bestFit="1" customWidth="1"/>
    <col min="20" max="20" width="27.75" customWidth="1"/>
    <col min="21" max="21" width="10.375" bestFit="1" customWidth="1"/>
    <col min="22" max="23" width="13.75" bestFit="1" customWidth="1"/>
    <col min="25" max="25" width="13.75" bestFit="1" customWidth="1"/>
  </cols>
  <sheetData>
    <row r="4" spans="1:10" ht="22.5">
      <c r="A4" s="20"/>
    </row>
    <row r="9" spans="1:10">
      <c r="A9" s="15" t="s">
        <v>186</v>
      </c>
      <c r="B9" s="15" t="s">
        <v>239</v>
      </c>
      <c r="C9" s="15" t="s">
        <v>240</v>
      </c>
      <c r="D9" s="15" t="s">
        <v>241</v>
      </c>
      <c r="E9" s="15" t="s">
        <v>242</v>
      </c>
      <c r="F9" s="15" t="s">
        <v>195</v>
      </c>
      <c r="G9" s="15" t="s">
        <v>197</v>
      </c>
      <c r="H9" s="15" t="s">
        <v>198</v>
      </c>
      <c r="I9" s="15" t="s">
        <v>199</v>
      </c>
      <c r="J9" s="15" t="s">
        <v>200</v>
      </c>
    </row>
    <row r="10" spans="1:10" ht="18.600000000000001" thickBot="1">
      <c r="A10" s="16"/>
      <c r="B10" s="16"/>
      <c r="C10" s="16"/>
      <c r="D10" s="16"/>
      <c r="E10" s="16"/>
      <c r="F10" s="16"/>
      <c r="G10" s="16"/>
      <c r="H10" s="16"/>
      <c r="I10" s="16"/>
      <c r="J10" s="16"/>
    </row>
    <row r="11" spans="1:10" ht="18.600000000000001" thickTop="1">
      <c r="A11" s="38"/>
      <c r="B11" s="30" t="s">
        <v>243</v>
      </c>
      <c r="C11" s="31">
        <v>1</v>
      </c>
      <c r="D11" s="31">
        <v>1</v>
      </c>
      <c r="E11" s="31">
        <v>4</v>
      </c>
      <c r="F11" s="31"/>
      <c r="G11" s="43" t="s">
        <v>213</v>
      </c>
      <c r="H11" s="40">
        <v>45831</v>
      </c>
      <c r="I11" s="43" t="s">
        <v>213</v>
      </c>
      <c r="J11" s="40">
        <v>45831</v>
      </c>
    </row>
    <row r="12" spans="1:10">
      <c r="A12" s="38"/>
      <c r="B12" s="30" t="s">
        <v>243</v>
      </c>
      <c r="C12" s="31">
        <v>1</v>
      </c>
      <c r="D12" s="31">
        <v>2</v>
      </c>
      <c r="E12" s="31">
        <v>4</v>
      </c>
      <c r="F12" s="31"/>
      <c r="G12" s="43" t="s">
        <v>213</v>
      </c>
      <c r="H12" s="40">
        <v>45831</v>
      </c>
      <c r="I12" s="43" t="s">
        <v>213</v>
      </c>
      <c r="J12" s="40">
        <v>45831</v>
      </c>
    </row>
    <row r="13" spans="1:10">
      <c r="A13" s="38"/>
      <c r="B13" s="30" t="s">
        <v>243</v>
      </c>
      <c r="C13" s="31">
        <v>1</v>
      </c>
      <c r="D13" s="31">
        <v>3</v>
      </c>
      <c r="E13" s="31">
        <v>4</v>
      </c>
      <c r="F13" s="31"/>
      <c r="G13" s="43" t="s">
        <v>213</v>
      </c>
      <c r="H13" s="40">
        <v>45831</v>
      </c>
      <c r="I13" s="43" t="s">
        <v>213</v>
      </c>
      <c r="J13" s="40">
        <v>45831</v>
      </c>
    </row>
    <row r="14" spans="1:10">
      <c r="A14" s="38"/>
      <c r="B14" s="30" t="s">
        <v>243</v>
      </c>
      <c r="C14" s="31">
        <v>1</v>
      </c>
      <c r="D14" s="31">
        <v>4</v>
      </c>
      <c r="E14" s="31">
        <v>4</v>
      </c>
      <c r="F14" s="31"/>
      <c r="G14" s="43" t="s">
        <v>213</v>
      </c>
      <c r="H14" s="40">
        <v>45831</v>
      </c>
      <c r="I14" s="43" t="s">
        <v>213</v>
      </c>
      <c r="J14" s="40">
        <v>45831</v>
      </c>
    </row>
    <row r="15" spans="1:10">
      <c r="A15" s="38"/>
      <c r="B15" s="30" t="s">
        <v>243</v>
      </c>
      <c r="C15" s="31">
        <v>1</v>
      </c>
      <c r="D15" s="31">
        <v>5</v>
      </c>
      <c r="E15" s="31">
        <v>4</v>
      </c>
      <c r="F15" s="31"/>
      <c r="G15" s="43" t="s">
        <v>213</v>
      </c>
      <c r="H15" s="40">
        <v>45831</v>
      </c>
      <c r="I15" s="43" t="s">
        <v>213</v>
      </c>
      <c r="J15" s="40">
        <v>45831</v>
      </c>
    </row>
    <row r="16" spans="1:10">
      <c r="A16" s="38"/>
      <c r="B16" s="30" t="s">
        <v>243</v>
      </c>
      <c r="C16" s="31">
        <v>1</v>
      </c>
      <c r="D16" s="31">
        <v>6</v>
      </c>
      <c r="E16" s="31">
        <v>4</v>
      </c>
      <c r="F16" s="31"/>
      <c r="G16" s="43" t="s">
        <v>213</v>
      </c>
      <c r="H16" s="40">
        <v>45831</v>
      </c>
      <c r="I16" s="43" t="s">
        <v>213</v>
      </c>
      <c r="J16" s="40">
        <v>45831</v>
      </c>
    </row>
    <row r="17" spans="1:10">
      <c r="A17" s="38"/>
      <c r="B17" s="30" t="s">
        <v>243</v>
      </c>
      <c r="C17" s="31">
        <v>1</v>
      </c>
      <c r="D17" s="31">
        <v>7</v>
      </c>
      <c r="E17" s="31">
        <v>2</v>
      </c>
      <c r="F17" s="31"/>
      <c r="G17" s="43" t="s">
        <v>213</v>
      </c>
      <c r="H17" s="40">
        <v>45831</v>
      </c>
      <c r="I17" s="43" t="s">
        <v>213</v>
      </c>
      <c r="J17" s="40">
        <v>45831</v>
      </c>
    </row>
    <row r="18" spans="1:10">
      <c r="A18" s="38"/>
      <c r="B18" s="30" t="s">
        <v>243</v>
      </c>
      <c r="C18" s="31">
        <v>1</v>
      </c>
      <c r="D18" s="31">
        <v>8</v>
      </c>
      <c r="E18" s="31">
        <v>4</v>
      </c>
      <c r="F18" s="31"/>
      <c r="G18" s="43" t="s">
        <v>213</v>
      </c>
      <c r="H18" s="40">
        <v>45831</v>
      </c>
      <c r="I18" s="43" t="s">
        <v>213</v>
      </c>
      <c r="J18" s="40">
        <v>45831</v>
      </c>
    </row>
    <row r="19" spans="1:10">
      <c r="A19" s="38"/>
      <c r="B19" s="30" t="s">
        <v>243</v>
      </c>
      <c r="C19" s="31">
        <v>1</v>
      </c>
      <c r="D19" s="31">
        <v>9</v>
      </c>
      <c r="E19" s="31">
        <v>4</v>
      </c>
      <c r="F19" s="31"/>
      <c r="G19" s="43" t="s">
        <v>213</v>
      </c>
      <c r="H19" s="40">
        <v>45831</v>
      </c>
      <c r="I19" s="43" t="s">
        <v>213</v>
      </c>
      <c r="J19" s="40">
        <v>45831</v>
      </c>
    </row>
    <row r="20" spans="1:10">
      <c r="A20" s="38"/>
      <c r="B20" s="30" t="s">
        <v>243</v>
      </c>
      <c r="C20" s="31">
        <v>1</v>
      </c>
      <c r="D20" s="31">
        <v>10</v>
      </c>
      <c r="E20" s="31">
        <v>4</v>
      </c>
      <c r="F20" s="31"/>
      <c r="G20" s="43" t="s">
        <v>213</v>
      </c>
      <c r="H20" s="40">
        <v>45831</v>
      </c>
      <c r="I20" s="43" t="s">
        <v>213</v>
      </c>
      <c r="J20" s="40">
        <v>45831</v>
      </c>
    </row>
    <row r="21" spans="1:10">
      <c r="A21" s="38"/>
      <c r="B21" s="30" t="s">
        <v>243</v>
      </c>
      <c r="C21" s="31">
        <v>1</v>
      </c>
      <c r="D21" s="31">
        <v>11</v>
      </c>
      <c r="E21" s="31">
        <v>4</v>
      </c>
      <c r="F21" s="31"/>
      <c r="G21" s="43" t="s">
        <v>213</v>
      </c>
      <c r="H21" s="40">
        <v>45831</v>
      </c>
      <c r="I21" s="43" t="s">
        <v>213</v>
      </c>
      <c r="J21" s="40">
        <v>45831</v>
      </c>
    </row>
    <row r="22" spans="1:10">
      <c r="A22" s="38"/>
      <c r="B22" s="30" t="s">
        <v>243</v>
      </c>
      <c r="C22" s="31">
        <v>1</v>
      </c>
      <c r="D22" s="31">
        <v>12</v>
      </c>
      <c r="E22" s="31">
        <v>4</v>
      </c>
      <c r="F22" s="31"/>
      <c r="G22" s="43" t="s">
        <v>213</v>
      </c>
      <c r="H22" s="40">
        <v>45831</v>
      </c>
      <c r="I22" s="43" t="s">
        <v>213</v>
      </c>
      <c r="J22" s="40">
        <v>45831</v>
      </c>
    </row>
    <row r="23" spans="1:10">
      <c r="A23" s="38"/>
      <c r="B23" s="30" t="s">
        <v>243</v>
      </c>
      <c r="C23" s="31">
        <v>1</v>
      </c>
      <c r="D23" s="31">
        <v>13</v>
      </c>
      <c r="E23" s="31">
        <v>4</v>
      </c>
      <c r="F23" s="31"/>
      <c r="G23" s="43" t="s">
        <v>213</v>
      </c>
      <c r="H23" s="40">
        <v>45831</v>
      </c>
      <c r="I23" s="43" t="s">
        <v>213</v>
      </c>
      <c r="J23" s="40">
        <v>45831</v>
      </c>
    </row>
    <row r="24" spans="1:10">
      <c r="A24" s="38"/>
      <c r="B24" s="30" t="s">
        <v>243</v>
      </c>
      <c r="C24" s="31">
        <v>1</v>
      </c>
      <c r="D24" s="31">
        <v>14</v>
      </c>
      <c r="E24" s="31">
        <v>3</v>
      </c>
      <c r="F24" s="31"/>
      <c r="G24" s="43" t="s">
        <v>213</v>
      </c>
      <c r="H24" s="40">
        <v>45831</v>
      </c>
      <c r="I24" s="43" t="s">
        <v>213</v>
      </c>
      <c r="J24" s="40">
        <v>45831</v>
      </c>
    </row>
    <row r="25" spans="1:10">
      <c r="A25" s="38"/>
      <c r="B25" s="30" t="s">
        <v>243</v>
      </c>
      <c r="C25" s="31">
        <v>1</v>
      </c>
      <c r="D25" s="31">
        <v>15</v>
      </c>
      <c r="E25" s="31">
        <v>3</v>
      </c>
      <c r="F25" s="31"/>
      <c r="G25" s="43" t="s">
        <v>213</v>
      </c>
      <c r="H25" s="40">
        <v>45831</v>
      </c>
      <c r="I25" s="43" t="s">
        <v>213</v>
      </c>
      <c r="J25" s="40">
        <v>45831</v>
      </c>
    </row>
    <row r="26" spans="1:10">
      <c r="A26" s="38"/>
      <c r="B26" s="30" t="s">
        <v>243</v>
      </c>
      <c r="C26" s="31">
        <v>1</v>
      </c>
      <c r="D26" s="31">
        <v>16</v>
      </c>
      <c r="E26" s="31">
        <v>4</v>
      </c>
      <c r="F26" s="31"/>
      <c r="G26" s="43" t="s">
        <v>213</v>
      </c>
      <c r="H26" s="40">
        <v>45831</v>
      </c>
      <c r="I26" s="43" t="s">
        <v>213</v>
      </c>
      <c r="J26" s="40">
        <v>45831</v>
      </c>
    </row>
    <row r="27" spans="1:10">
      <c r="A27" s="38"/>
      <c r="B27" s="30" t="s">
        <v>243</v>
      </c>
      <c r="C27" s="31">
        <v>1</v>
      </c>
      <c r="D27" s="31">
        <v>17</v>
      </c>
      <c r="E27" s="31">
        <v>3</v>
      </c>
      <c r="F27" s="31"/>
      <c r="G27" s="43" t="s">
        <v>213</v>
      </c>
      <c r="H27" s="40">
        <v>45831</v>
      </c>
      <c r="I27" s="43" t="s">
        <v>213</v>
      </c>
      <c r="J27" s="40">
        <v>45831</v>
      </c>
    </row>
    <row r="28" spans="1:10">
      <c r="A28" s="38"/>
      <c r="B28" s="30" t="s">
        <v>243</v>
      </c>
      <c r="C28" s="31">
        <v>1</v>
      </c>
      <c r="D28" s="31">
        <v>18</v>
      </c>
      <c r="E28" s="31">
        <v>3</v>
      </c>
      <c r="F28" s="31"/>
      <c r="G28" s="43" t="s">
        <v>213</v>
      </c>
      <c r="H28" s="40">
        <v>45831</v>
      </c>
      <c r="I28" s="43" t="s">
        <v>213</v>
      </c>
      <c r="J28" s="40">
        <v>45831</v>
      </c>
    </row>
    <row r="29" spans="1:10">
      <c r="A29" s="38"/>
      <c r="B29" s="30" t="s">
        <v>243</v>
      </c>
      <c r="C29" s="31">
        <v>1</v>
      </c>
      <c r="D29" s="31">
        <v>19</v>
      </c>
      <c r="E29" s="31">
        <v>4</v>
      </c>
      <c r="F29" s="31"/>
      <c r="G29" s="43" t="s">
        <v>213</v>
      </c>
      <c r="H29" s="40">
        <v>45831</v>
      </c>
      <c r="I29" s="43" t="s">
        <v>213</v>
      </c>
      <c r="J29" s="40">
        <v>45831</v>
      </c>
    </row>
    <row r="30" spans="1:10">
      <c r="A30" s="38"/>
      <c r="B30" s="30" t="s">
        <v>243</v>
      </c>
      <c r="C30" s="31">
        <v>1</v>
      </c>
      <c r="D30" s="31">
        <v>20</v>
      </c>
      <c r="E30" s="31">
        <v>4</v>
      </c>
      <c r="F30" s="31"/>
      <c r="G30" s="43" t="s">
        <v>213</v>
      </c>
      <c r="H30" s="40">
        <v>45831</v>
      </c>
      <c r="I30" s="43" t="s">
        <v>213</v>
      </c>
      <c r="J30" s="40">
        <v>45831</v>
      </c>
    </row>
    <row r="31" spans="1:10">
      <c r="A31" s="38"/>
      <c r="B31" s="30" t="s">
        <v>243</v>
      </c>
      <c r="C31" s="31">
        <v>1</v>
      </c>
      <c r="D31" s="31">
        <v>21</v>
      </c>
      <c r="E31" s="31">
        <v>4</v>
      </c>
      <c r="F31" s="31"/>
      <c r="G31" s="43" t="s">
        <v>213</v>
      </c>
      <c r="H31" s="40">
        <v>45831</v>
      </c>
      <c r="I31" s="43" t="s">
        <v>213</v>
      </c>
      <c r="J31" s="40">
        <v>45831</v>
      </c>
    </row>
    <row r="32" spans="1:10">
      <c r="A32" s="38"/>
      <c r="B32" s="30" t="s">
        <v>243</v>
      </c>
      <c r="C32" s="31">
        <v>1</v>
      </c>
      <c r="D32" s="31">
        <v>22</v>
      </c>
      <c r="E32" s="31">
        <v>4</v>
      </c>
      <c r="F32" s="31"/>
      <c r="G32" s="43" t="s">
        <v>213</v>
      </c>
      <c r="H32" s="40">
        <v>45831</v>
      </c>
      <c r="I32" s="43" t="s">
        <v>213</v>
      </c>
      <c r="J32" s="40">
        <v>45831</v>
      </c>
    </row>
    <row r="33" spans="1:10">
      <c r="A33" s="38"/>
      <c r="B33" s="30" t="s">
        <v>243</v>
      </c>
      <c r="C33" s="31">
        <v>1</v>
      </c>
      <c r="D33" s="31">
        <v>23</v>
      </c>
      <c r="E33" s="31">
        <v>4</v>
      </c>
      <c r="F33" s="31"/>
      <c r="G33" s="43" t="s">
        <v>213</v>
      </c>
      <c r="H33" s="40">
        <v>45831</v>
      </c>
      <c r="I33" s="43" t="s">
        <v>213</v>
      </c>
      <c r="J33" s="40">
        <v>45831</v>
      </c>
    </row>
    <row r="34" spans="1:10">
      <c r="A34" s="38"/>
      <c r="B34" s="30" t="s">
        <v>243</v>
      </c>
      <c r="C34" s="31">
        <v>1</v>
      </c>
      <c r="D34" s="31">
        <v>24</v>
      </c>
      <c r="E34" s="31">
        <v>4</v>
      </c>
      <c r="F34" s="31"/>
      <c r="G34" s="43" t="s">
        <v>213</v>
      </c>
      <c r="H34" s="40">
        <v>45831</v>
      </c>
      <c r="I34" s="43" t="s">
        <v>213</v>
      </c>
      <c r="J34" s="40">
        <v>45831</v>
      </c>
    </row>
    <row r="35" spans="1:10">
      <c r="A35" s="38"/>
      <c r="B35" s="30" t="s">
        <v>243</v>
      </c>
      <c r="C35" s="31">
        <v>1</v>
      </c>
      <c r="D35" s="31">
        <v>25</v>
      </c>
      <c r="E35" s="31">
        <v>4</v>
      </c>
      <c r="F35" s="31"/>
      <c r="G35" s="43" t="s">
        <v>213</v>
      </c>
      <c r="H35" s="40">
        <v>45831</v>
      </c>
      <c r="I35" s="43" t="s">
        <v>213</v>
      </c>
      <c r="J35" s="40">
        <v>45831</v>
      </c>
    </row>
    <row r="36" spans="1:10">
      <c r="A36" s="38"/>
      <c r="B36" s="30" t="s">
        <v>243</v>
      </c>
      <c r="C36" s="31">
        <v>1</v>
      </c>
      <c r="D36" s="31">
        <v>26</v>
      </c>
      <c r="E36" s="31">
        <v>4</v>
      </c>
      <c r="F36" s="31"/>
      <c r="G36" s="43" t="s">
        <v>213</v>
      </c>
      <c r="H36" s="40">
        <v>45831</v>
      </c>
      <c r="I36" s="43" t="s">
        <v>213</v>
      </c>
      <c r="J36" s="40">
        <v>45831</v>
      </c>
    </row>
    <row r="37" spans="1:10">
      <c r="A37" s="38"/>
      <c r="B37" s="30" t="s">
        <v>243</v>
      </c>
      <c r="C37" s="31">
        <v>1</v>
      </c>
      <c r="D37" s="31">
        <v>27</v>
      </c>
      <c r="E37" s="31">
        <v>4</v>
      </c>
      <c r="F37" s="31"/>
      <c r="G37" s="43" t="s">
        <v>213</v>
      </c>
      <c r="H37" s="40">
        <v>45831</v>
      </c>
      <c r="I37" s="43" t="s">
        <v>213</v>
      </c>
      <c r="J37" s="40">
        <v>45831</v>
      </c>
    </row>
    <row r="38" spans="1:10">
      <c r="A38" s="38"/>
      <c r="B38" s="30" t="s">
        <v>243</v>
      </c>
      <c r="C38" s="31">
        <v>1</v>
      </c>
      <c r="D38" s="31">
        <v>28</v>
      </c>
      <c r="E38" s="31">
        <v>4</v>
      </c>
      <c r="F38" s="31"/>
      <c r="G38" s="43" t="s">
        <v>213</v>
      </c>
      <c r="H38" s="40">
        <v>45831</v>
      </c>
      <c r="I38" s="43" t="s">
        <v>213</v>
      </c>
      <c r="J38" s="40">
        <v>45831</v>
      </c>
    </row>
    <row r="39" spans="1:10">
      <c r="A39" s="38"/>
      <c r="B39" s="30" t="s">
        <v>243</v>
      </c>
      <c r="C39" s="31">
        <v>1</v>
      </c>
      <c r="D39" s="31">
        <v>29</v>
      </c>
      <c r="E39" s="31">
        <v>4</v>
      </c>
      <c r="F39" s="31"/>
      <c r="G39" s="43" t="s">
        <v>213</v>
      </c>
      <c r="H39" s="40">
        <v>45831</v>
      </c>
      <c r="I39" s="43" t="s">
        <v>213</v>
      </c>
      <c r="J39" s="40">
        <v>45831</v>
      </c>
    </row>
    <row r="40" spans="1:10">
      <c r="A40" s="38"/>
      <c r="B40" s="30" t="s">
        <v>243</v>
      </c>
      <c r="C40" s="31">
        <v>1</v>
      </c>
      <c r="D40" s="31">
        <v>30</v>
      </c>
      <c r="E40" s="31">
        <v>3</v>
      </c>
      <c r="F40" s="31"/>
      <c r="G40" s="43" t="s">
        <v>213</v>
      </c>
      <c r="H40" s="40">
        <v>45831</v>
      </c>
      <c r="I40" s="43" t="s">
        <v>213</v>
      </c>
      <c r="J40" s="40">
        <v>45831</v>
      </c>
    </row>
    <row r="41" spans="1:10">
      <c r="A41" s="38"/>
      <c r="B41" s="30" t="s">
        <v>243</v>
      </c>
      <c r="C41" s="31">
        <v>1</v>
      </c>
      <c r="D41" s="31">
        <v>31</v>
      </c>
      <c r="E41" s="31">
        <v>4</v>
      </c>
      <c r="F41" s="31"/>
      <c r="G41" s="43" t="s">
        <v>213</v>
      </c>
      <c r="H41" s="40">
        <v>45831</v>
      </c>
      <c r="I41" s="43" t="s">
        <v>213</v>
      </c>
      <c r="J41" s="40">
        <v>45831</v>
      </c>
    </row>
    <row r="42" spans="1:10">
      <c r="A42" s="38"/>
      <c r="B42" s="30" t="s">
        <v>243</v>
      </c>
      <c r="C42" s="31">
        <v>1</v>
      </c>
      <c r="D42" s="31">
        <v>32</v>
      </c>
      <c r="E42" s="31">
        <v>4</v>
      </c>
      <c r="F42" s="31"/>
      <c r="G42" s="43" t="s">
        <v>213</v>
      </c>
      <c r="H42" s="40">
        <v>45831</v>
      </c>
      <c r="I42" s="43" t="s">
        <v>213</v>
      </c>
      <c r="J42" s="40">
        <v>45831</v>
      </c>
    </row>
    <row r="43" spans="1:10">
      <c r="A43" s="38"/>
      <c r="B43" s="30" t="s">
        <v>243</v>
      </c>
      <c r="C43" s="31">
        <v>1</v>
      </c>
      <c r="D43" s="31">
        <v>33</v>
      </c>
      <c r="E43" s="31">
        <v>4</v>
      </c>
      <c r="F43" s="31"/>
      <c r="G43" s="43" t="s">
        <v>213</v>
      </c>
      <c r="H43" s="40">
        <v>45831</v>
      </c>
      <c r="I43" s="43" t="s">
        <v>213</v>
      </c>
      <c r="J43" s="40">
        <v>45831</v>
      </c>
    </row>
    <row r="44" spans="1:10">
      <c r="A44" s="38"/>
      <c r="B44" s="30" t="s">
        <v>243</v>
      </c>
      <c r="C44" s="31">
        <v>1</v>
      </c>
      <c r="D44" s="31">
        <v>34</v>
      </c>
      <c r="E44" s="31">
        <v>4</v>
      </c>
      <c r="F44" s="31"/>
      <c r="G44" s="43" t="s">
        <v>213</v>
      </c>
      <c r="H44" s="40">
        <v>45831</v>
      </c>
      <c r="I44" s="43" t="s">
        <v>213</v>
      </c>
      <c r="J44" s="40">
        <v>45831</v>
      </c>
    </row>
    <row r="45" spans="1:10">
      <c r="A45" s="38"/>
      <c r="B45" s="30" t="s">
        <v>243</v>
      </c>
      <c r="C45" s="31">
        <v>1</v>
      </c>
      <c r="D45" s="31">
        <v>35</v>
      </c>
      <c r="E45" s="31">
        <v>3</v>
      </c>
      <c r="F45" s="31"/>
      <c r="G45" s="43" t="s">
        <v>213</v>
      </c>
      <c r="H45" s="40">
        <v>45831</v>
      </c>
      <c r="I45" s="43" t="s">
        <v>213</v>
      </c>
      <c r="J45" s="40">
        <v>45831</v>
      </c>
    </row>
    <row r="46" spans="1:10">
      <c r="A46" s="38"/>
      <c r="B46" s="30" t="s">
        <v>243</v>
      </c>
      <c r="C46" s="31">
        <v>1</v>
      </c>
      <c r="D46" s="31">
        <v>36</v>
      </c>
      <c r="E46" s="31">
        <v>3</v>
      </c>
      <c r="F46" s="31"/>
      <c r="G46" s="43" t="s">
        <v>213</v>
      </c>
      <c r="H46" s="40">
        <v>45831</v>
      </c>
      <c r="I46" s="43" t="s">
        <v>213</v>
      </c>
      <c r="J46" s="40">
        <v>45831</v>
      </c>
    </row>
    <row r="47" spans="1:10">
      <c r="A47" s="38"/>
      <c r="B47" s="30" t="s">
        <v>243</v>
      </c>
      <c r="C47" s="31">
        <v>1</v>
      </c>
      <c r="D47" s="31">
        <v>37</v>
      </c>
      <c r="E47" s="31">
        <v>3</v>
      </c>
      <c r="F47" s="31"/>
      <c r="G47" s="43" t="s">
        <v>213</v>
      </c>
      <c r="H47" s="40">
        <v>45831</v>
      </c>
      <c r="I47" s="43" t="s">
        <v>213</v>
      </c>
      <c r="J47" s="40">
        <v>45831</v>
      </c>
    </row>
    <row r="48" spans="1:10">
      <c r="A48" s="38"/>
      <c r="B48" s="30" t="s">
        <v>243</v>
      </c>
      <c r="C48" s="31">
        <v>1</v>
      </c>
      <c r="D48" s="31">
        <v>38</v>
      </c>
      <c r="E48" s="31">
        <v>3</v>
      </c>
      <c r="F48" s="31"/>
      <c r="G48" s="43" t="s">
        <v>213</v>
      </c>
      <c r="H48" s="40">
        <v>45831</v>
      </c>
      <c r="I48" s="43" t="s">
        <v>213</v>
      </c>
      <c r="J48" s="40">
        <v>45831</v>
      </c>
    </row>
    <row r="49" spans="1:10">
      <c r="A49" s="38"/>
      <c r="B49" s="30" t="s">
        <v>243</v>
      </c>
      <c r="C49" s="31">
        <v>1</v>
      </c>
      <c r="D49" s="31">
        <v>39</v>
      </c>
      <c r="E49" s="31">
        <v>3</v>
      </c>
      <c r="F49" s="31"/>
      <c r="G49" s="43" t="s">
        <v>213</v>
      </c>
      <c r="H49" s="40">
        <v>45831</v>
      </c>
      <c r="I49" s="43" t="s">
        <v>213</v>
      </c>
      <c r="J49" s="40">
        <v>45831</v>
      </c>
    </row>
    <row r="50" spans="1:10">
      <c r="A50" s="38"/>
      <c r="B50" s="30" t="s">
        <v>243</v>
      </c>
      <c r="C50" s="31">
        <v>1</v>
      </c>
      <c r="D50" s="31">
        <v>40</v>
      </c>
      <c r="E50" s="31">
        <v>3</v>
      </c>
      <c r="F50" s="31"/>
      <c r="G50" s="43" t="s">
        <v>213</v>
      </c>
      <c r="H50" s="40">
        <v>45831</v>
      </c>
      <c r="I50" s="43" t="s">
        <v>213</v>
      </c>
      <c r="J50" s="40">
        <v>45831</v>
      </c>
    </row>
    <row r="51" spans="1:10">
      <c r="A51" s="38"/>
      <c r="B51" s="30" t="s">
        <v>243</v>
      </c>
      <c r="C51" s="31">
        <v>1</v>
      </c>
      <c r="D51" s="31">
        <v>41</v>
      </c>
      <c r="E51" s="31">
        <v>3</v>
      </c>
      <c r="F51" s="31"/>
      <c r="G51" s="43" t="s">
        <v>213</v>
      </c>
      <c r="H51" s="40">
        <v>45831</v>
      </c>
      <c r="I51" s="43" t="s">
        <v>213</v>
      </c>
      <c r="J51" s="40">
        <v>45831</v>
      </c>
    </row>
    <row r="52" spans="1:10">
      <c r="A52" s="38"/>
      <c r="B52" s="30" t="s">
        <v>243</v>
      </c>
      <c r="C52" s="31">
        <v>1</v>
      </c>
      <c r="D52" s="31">
        <v>42</v>
      </c>
      <c r="E52" s="31">
        <v>3</v>
      </c>
      <c r="F52" s="31"/>
      <c r="G52" s="43" t="s">
        <v>213</v>
      </c>
      <c r="H52" s="40">
        <v>45831</v>
      </c>
      <c r="I52" s="43" t="s">
        <v>213</v>
      </c>
      <c r="J52" s="40">
        <v>45831</v>
      </c>
    </row>
    <row r="53" spans="1:10">
      <c r="A53" s="38"/>
      <c r="B53" s="30" t="s">
        <v>243</v>
      </c>
      <c r="C53" s="31">
        <v>1</v>
      </c>
      <c r="D53" s="31">
        <v>43</v>
      </c>
      <c r="E53" s="31">
        <v>2</v>
      </c>
      <c r="F53" s="31"/>
      <c r="G53" s="43" t="s">
        <v>213</v>
      </c>
      <c r="H53" s="40">
        <v>45831</v>
      </c>
      <c r="I53" s="43" t="s">
        <v>213</v>
      </c>
      <c r="J53" s="40">
        <v>45831</v>
      </c>
    </row>
    <row r="54" spans="1:10">
      <c r="A54" s="38"/>
      <c r="B54" s="30" t="s">
        <v>101</v>
      </c>
      <c r="C54" s="31">
        <v>2</v>
      </c>
      <c r="D54" s="31">
        <v>1</v>
      </c>
      <c r="E54" s="31">
        <v>3</v>
      </c>
      <c r="F54" s="31"/>
      <c r="G54" s="43" t="s">
        <v>213</v>
      </c>
      <c r="H54" s="40">
        <v>45831</v>
      </c>
      <c r="I54" s="43" t="s">
        <v>213</v>
      </c>
      <c r="J54" s="40">
        <v>45831</v>
      </c>
    </row>
    <row r="55" spans="1:10">
      <c r="A55" s="38"/>
      <c r="B55" s="30" t="s">
        <v>101</v>
      </c>
      <c r="C55" s="31">
        <v>2</v>
      </c>
      <c r="D55" s="31">
        <v>2</v>
      </c>
      <c r="E55" s="31">
        <v>3</v>
      </c>
      <c r="F55" s="31"/>
      <c r="G55" s="43" t="s">
        <v>213</v>
      </c>
      <c r="H55" s="40">
        <v>45831</v>
      </c>
      <c r="I55" s="43" t="s">
        <v>213</v>
      </c>
      <c r="J55" s="40">
        <v>45831</v>
      </c>
    </row>
    <row r="56" spans="1:10">
      <c r="A56" s="38"/>
      <c r="B56" s="30" t="s">
        <v>101</v>
      </c>
      <c r="C56" s="31">
        <v>2</v>
      </c>
      <c r="D56" s="31">
        <v>3</v>
      </c>
      <c r="E56" s="31">
        <v>3</v>
      </c>
      <c r="F56" s="31"/>
      <c r="G56" s="43" t="s">
        <v>213</v>
      </c>
      <c r="H56" s="40">
        <v>45831</v>
      </c>
      <c r="I56" s="43" t="s">
        <v>213</v>
      </c>
      <c r="J56" s="40">
        <v>45831</v>
      </c>
    </row>
    <row r="57" spans="1:10">
      <c r="A57" s="38"/>
      <c r="B57" s="30" t="s">
        <v>101</v>
      </c>
      <c r="C57" s="31">
        <v>2</v>
      </c>
      <c r="D57" s="31">
        <v>4</v>
      </c>
      <c r="E57" s="31">
        <v>3</v>
      </c>
      <c r="F57" s="31"/>
      <c r="G57" s="43" t="s">
        <v>213</v>
      </c>
      <c r="H57" s="40">
        <v>45831</v>
      </c>
      <c r="I57" s="43" t="s">
        <v>213</v>
      </c>
      <c r="J57" s="40">
        <v>45831</v>
      </c>
    </row>
    <row r="58" spans="1:10">
      <c r="A58" s="38"/>
      <c r="B58" s="30" t="s">
        <v>101</v>
      </c>
      <c r="C58" s="31">
        <v>2</v>
      </c>
      <c r="D58" s="31">
        <v>5</v>
      </c>
      <c r="E58" s="31">
        <v>3</v>
      </c>
      <c r="F58" s="31"/>
      <c r="G58" s="43" t="s">
        <v>213</v>
      </c>
      <c r="H58" s="40">
        <v>45831</v>
      </c>
      <c r="I58" s="43" t="s">
        <v>213</v>
      </c>
      <c r="J58" s="40">
        <v>45831</v>
      </c>
    </row>
    <row r="59" spans="1:10">
      <c r="A59" s="38"/>
      <c r="B59" s="30" t="s">
        <v>101</v>
      </c>
      <c r="C59" s="31">
        <v>2</v>
      </c>
      <c r="D59" s="31">
        <v>6</v>
      </c>
      <c r="E59" s="31">
        <v>3</v>
      </c>
      <c r="F59" s="31"/>
      <c r="G59" s="43" t="s">
        <v>213</v>
      </c>
      <c r="H59" s="40">
        <v>45831</v>
      </c>
      <c r="I59" s="43" t="s">
        <v>213</v>
      </c>
      <c r="J59" s="40">
        <v>45831</v>
      </c>
    </row>
    <row r="60" spans="1:10">
      <c r="A60" s="38"/>
      <c r="B60" s="30" t="s">
        <v>101</v>
      </c>
      <c r="C60" s="31">
        <v>2</v>
      </c>
      <c r="D60" s="31">
        <v>7</v>
      </c>
      <c r="E60" s="31">
        <v>2</v>
      </c>
      <c r="F60" s="31"/>
      <c r="G60" s="43" t="s">
        <v>213</v>
      </c>
      <c r="H60" s="40">
        <v>45831</v>
      </c>
      <c r="I60" s="43" t="s">
        <v>213</v>
      </c>
      <c r="J60" s="40">
        <v>45831</v>
      </c>
    </row>
    <row r="61" spans="1:10">
      <c r="A61" s="38"/>
      <c r="B61" s="30" t="s">
        <v>101</v>
      </c>
      <c r="C61" s="31">
        <v>2</v>
      </c>
      <c r="D61" s="31">
        <v>8</v>
      </c>
      <c r="E61" s="31">
        <v>3</v>
      </c>
      <c r="F61" s="31"/>
      <c r="G61" s="43" t="s">
        <v>213</v>
      </c>
      <c r="H61" s="40">
        <v>45831</v>
      </c>
      <c r="I61" s="43" t="s">
        <v>213</v>
      </c>
      <c r="J61" s="40">
        <v>45831</v>
      </c>
    </row>
    <row r="62" spans="1:10">
      <c r="A62" s="38"/>
      <c r="B62" s="30" t="s">
        <v>101</v>
      </c>
      <c r="C62" s="31">
        <v>2</v>
      </c>
      <c r="D62" s="31">
        <v>9</v>
      </c>
      <c r="E62" s="31">
        <v>3</v>
      </c>
      <c r="F62" s="31"/>
      <c r="G62" s="43" t="s">
        <v>213</v>
      </c>
      <c r="H62" s="40">
        <v>45831</v>
      </c>
      <c r="I62" s="43" t="s">
        <v>213</v>
      </c>
      <c r="J62" s="40">
        <v>45831</v>
      </c>
    </row>
    <row r="63" spans="1:10">
      <c r="A63" s="38"/>
      <c r="B63" s="30" t="s">
        <v>101</v>
      </c>
      <c r="C63" s="31">
        <v>2</v>
      </c>
      <c r="D63" s="31">
        <v>10</v>
      </c>
      <c r="E63" s="31">
        <v>3</v>
      </c>
      <c r="F63" s="31"/>
      <c r="G63" s="43" t="s">
        <v>213</v>
      </c>
      <c r="H63" s="40">
        <v>45831</v>
      </c>
      <c r="I63" s="43" t="s">
        <v>213</v>
      </c>
      <c r="J63" s="40">
        <v>45831</v>
      </c>
    </row>
    <row r="64" spans="1:10">
      <c r="A64" s="38"/>
      <c r="B64" s="30" t="s">
        <v>101</v>
      </c>
      <c r="C64" s="31">
        <v>2</v>
      </c>
      <c r="D64" s="31">
        <v>11</v>
      </c>
      <c r="E64" s="31">
        <v>3</v>
      </c>
      <c r="F64" s="31"/>
      <c r="G64" s="43" t="s">
        <v>213</v>
      </c>
      <c r="H64" s="40">
        <v>45831</v>
      </c>
      <c r="I64" s="43" t="s">
        <v>213</v>
      </c>
      <c r="J64" s="40">
        <v>45831</v>
      </c>
    </row>
    <row r="65" spans="1:10">
      <c r="A65" s="38"/>
      <c r="B65" s="30" t="s">
        <v>101</v>
      </c>
      <c r="C65" s="31">
        <v>2</v>
      </c>
      <c r="D65" s="31">
        <v>12</v>
      </c>
      <c r="E65" s="31">
        <v>3</v>
      </c>
      <c r="F65" s="31"/>
      <c r="G65" s="43" t="s">
        <v>213</v>
      </c>
      <c r="H65" s="40">
        <v>45831</v>
      </c>
      <c r="I65" s="43" t="s">
        <v>213</v>
      </c>
      <c r="J65" s="40">
        <v>45831</v>
      </c>
    </row>
    <row r="66" spans="1:10">
      <c r="A66" s="38"/>
      <c r="B66" s="30" t="s">
        <v>101</v>
      </c>
      <c r="C66" s="31">
        <v>2</v>
      </c>
      <c r="D66" s="31">
        <v>13</v>
      </c>
      <c r="E66" s="31">
        <v>3</v>
      </c>
      <c r="F66" s="31"/>
      <c r="G66" s="43" t="s">
        <v>213</v>
      </c>
      <c r="H66" s="40">
        <v>45831</v>
      </c>
      <c r="I66" s="43" t="s">
        <v>213</v>
      </c>
      <c r="J66" s="40">
        <v>45831</v>
      </c>
    </row>
    <row r="67" spans="1:10">
      <c r="A67" s="38"/>
      <c r="B67" s="30" t="s">
        <v>101</v>
      </c>
      <c r="C67" s="31">
        <v>2</v>
      </c>
      <c r="D67" s="31">
        <v>14</v>
      </c>
      <c r="E67" s="31">
        <v>3</v>
      </c>
      <c r="F67" s="31"/>
      <c r="G67" s="43" t="s">
        <v>213</v>
      </c>
      <c r="H67" s="40">
        <v>45831</v>
      </c>
      <c r="I67" s="43" t="s">
        <v>213</v>
      </c>
      <c r="J67" s="40">
        <v>45831</v>
      </c>
    </row>
    <row r="68" spans="1:10">
      <c r="A68" s="38"/>
      <c r="B68" s="30" t="s">
        <v>101</v>
      </c>
      <c r="C68" s="31">
        <v>2</v>
      </c>
      <c r="D68" s="31">
        <v>15</v>
      </c>
      <c r="E68" s="31">
        <v>3</v>
      </c>
      <c r="F68" s="31"/>
      <c r="G68" s="43" t="s">
        <v>213</v>
      </c>
      <c r="H68" s="40">
        <v>45831</v>
      </c>
      <c r="I68" s="43" t="s">
        <v>213</v>
      </c>
      <c r="J68" s="40">
        <v>45831</v>
      </c>
    </row>
    <row r="69" spans="1:10">
      <c r="A69" s="38"/>
      <c r="B69" s="30" t="s">
        <v>101</v>
      </c>
      <c r="C69" s="31">
        <v>2</v>
      </c>
      <c r="D69" s="31">
        <v>16</v>
      </c>
      <c r="E69" s="31">
        <v>3</v>
      </c>
      <c r="F69" s="31"/>
      <c r="G69" s="43" t="s">
        <v>213</v>
      </c>
      <c r="H69" s="40">
        <v>45831</v>
      </c>
      <c r="I69" s="43" t="s">
        <v>213</v>
      </c>
      <c r="J69" s="40">
        <v>45831</v>
      </c>
    </row>
    <row r="70" spans="1:10">
      <c r="A70" s="38"/>
      <c r="B70" s="30" t="s">
        <v>101</v>
      </c>
      <c r="C70" s="31">
        <v>2</v>
      </c>
      <c r="D70" s="31">
        <v>17</v>
      </c>
      <c r="E70" s="31">
        <v>3</v>
      </c>
      <c r="F70" s="31"/>
      <c r="G70" s="43" t="s">
        <v>213</v>
      </c>
      <c r="H70" s="40">
        <v>45831</v>
      </c>
      <c r="I70" s="43" t="s">
        <v>213</v>
      </c>
      <c r="J70" s="40">
        <v>45831</v>
      </c>
    </row>
    <row r="71" spans="1:10">
      <c r="A71" s="38"/>
      <c r="B71" s="30" t="s">
        <v>101</v>
      </c>
      <c r="C71" s="31">
        <v>2</v>
      </c>
      <c r="D71" s="31">
        <v>18</v>
      </c>
      <c r="E71" s="31">
        <v>3</v>
      </c>
      <c r="F71" s="31"/>
      <c r="G71" s="43" t="s">
        <v>213</v>
      </c>
      <c r="H71" s="40">
        <v>45831</v>
      </c>
      <c r="I71" s="43" t="s">
        <v>213</v>
      </c>
      <c r="J71" s="40">
        <v>45831</v>
      </c>
    </row>
    <row r="72" spans="1:10">
      <c r="A72" s="38"/>
      <c r="B72" s="30" t="s">
        <v>101</v>
      </c>
      <c r="C72" s="31">
        <v>2</v>
      </c>
      <c r="D72" s="31">
        <v>19</v>
      </c>
      <c r="E72" s="31">
        <v>3</v>
      </c>
      <c r="F72" s="31"/>
      <c r="G72" s="43" t="s">
        <v>213</v>
      </c>
      <c r="H72" s="40">
        <v>45831</v>
      </c>
      <c r="I72" s="43" t="s">
        <v>213</v>
      </c>
      <c r="J72" s="40">
        <v>45831</v>
      </c>
    </row>
    <row r="73" spans="1:10">
      <c r="A73" s="38"/>
      <c r="B73" s="30" t="s">
        <v>101</v>
      </c>
      <c r="C73" s="31">
        <v>2</v>
      </c>
      <c r="D73" s="31">
        <v>20</v>
      </c>
      <c r="E73" s="31">
        <v>3</v>
      </c>
      <c r="F73" s="31"/>
      <c r="G73" s="43" t="s">
        <v>213</v>
      </c>
      <c r="H73" s="40">
        <v>45831</v>
      </c>
      <c r="I73" s="43" t="s">
        <v>213</v>
      </c>
      <c r="J73" s="40">
        <v>45831</v>
      </c>
    </row>
    <row r="74" spans="1:10">
      <c r="A74" s="38"/>
      <c r="B74" s="30" t="s">
        <v>101</v>
      </c>
      <c r="C74" s="31">
        <v>2</v>
      </c>
      <c r="D74" s="31">
        <v>21</v>
      </c>
      <c r="E74" s="31">
        <v>3</v>
      </c>
      <c r="F74" s="31"/>
      <c r="G74" s="43" t="s">
        <v>213</v>
      </c>
      <c r="H74" s="40">
        <v>45831</v>
      </c>
      <c r="I74" s="43" t="s">
        <v>213</v>
      </c>
      <c r="J74" s="40">
        <v>45831</v>
      </c>
    </row>
    <row r="75" spans="1:10">
      <c r="A75" s="38"/>
      <c r="B75" s="30" t="s">
        <v>101</v>
      </c>
      <c r="C75" s="31">
        <v>2</v>
      </c>
      <c r="D75" s="31">
        <v>22</v>
      </c>
      <c r="E75" s="31">
        <v>3</v>
      </c>
      <c r="F75" s="31"/>
      <c r="G75" s="43" t="s">
        <v>213</v>
      </c>
      <c r="H75" s="40">
        <v>45831</v>
      </c>
      <c r="I75" s="43" t="s">
        <v>213</v>
      </c>
      <c r="J75" s="40">
        <v>45831</v>
      </c>
    </row>
    <row r="76" spans="1:10">
      <c r="A76" s="38"/>
      <c r="B76" s="30" t="s">
        <v>101</v>
      </c>
      <c r="C76" s="31">
        <v>2</v>
      </c>
      <c r="D76" s="31">
        <v>23</v>
      </c>
      <c r="E76" s="31">
        <v>3</v>
      </c>
      <c r="F76" s="31"/>
      <c r="G76" s="43" t="s">
        <v>213</v>
      </c>
      <c r="H76" s="40">
        <v>45831</v>
      </c>
      <c r="I76" s="43" t="s">
        <v>213</v>
      </c>
      <c r="J76" s="40">
        <v>45831</v>
      </c>
    </row>
    <row r="77" spans="1:10">
      <c r="A77" s="38"/>
      <c r="B77" s="30" t="s">
        <v>101</v>
      </c>
      <c r="C77" s="31">
        <v>2</v>
      </c>
      <c r="D77" s="31">
        <v>24</v>
      </c>
      <c r="E77" s="31">
        <v>3</v>
      </c>
      <c r="F77" s="31"/>
      <c r="G77" s="43" t="s">
        <v>213</v>
      </c>
      <c r="H77" s="40">
        <v>45831</v>
      </c>
      <c r="I77" s="43" t="s">
        <v>213</v>
      </c>
      <c r="J77" s="40">
        <v>45831</v>
      </c>
    </row>
    <row r="78" spans="1:10">
      <c r="A78" s="38"/>
      <c r="B78" s="30" t="s">
        <v>101</v>
      </c>
      <c r="C78" s="31">
        <v>2</v>
      </c>
      <c r="D78" s="31">
        <v>25</v>
      </c>
      <c r="E78" s="31">
        <v>3</v>
      </c>
      <c r="F78" s="31"/>
      <c r="G78" s="43" t="s">
        <v>213</v>
      </c>
      <c r="H78" s="40">
        <v>45831</v>
      </c>
      <c r="I78" s="43" t="s">
        <v>213</v>
      </c>
      <c r="J78" s="40">
        <v>45831</v>
      </c>
    </row>
    <row r="79" spans="1:10">
      <c r="A79" s="38"/>
      <c r="B79" s="30" t="s">
        <v>101</v>
      </c>
      <c r="C79" s="31">
        <v>2</v>
      </c>
      <c r="D79" s="31">
        <v>26</v>
      </c>
      <c r="E79" s="31">
        <v>3</v>
      </c>
      <c r="F79" s="31"/>
      <c r="G79" s="43" t="s">
        <v>213</v>
      </c>
      <c r="H79" s="40">
        <v>45831</v>
      </c>
      <c r="I79" s="43" t="s">
        <v>213</v>
      </c>
      <c r="J79" s="40">
        <v>45831</v>
      </c>
    </row>
    <row r="80" spans="1:10">
      <c r="A80" s="38"/>
      <c r="B80" s="30" t="s">
        <v>101</v>
      </c>
      <c r="C80" s="31">
        <v>2</v>
      </c>
      <c r="D80" s="31">
        <v>27</v>
      </c>
      <c r="E80" s="31">
        <v>3</v>
      </c>
      <c r="F80" s="31"/>
      <c r="G80" s="43" t="s">
        <v>213</v>
      </c>
      <c r="H80" s="40">
        <v>45831</v>
      </c>
      <c r="I80" s="43" t="s">
        <v>213</v>
      </c>
      <c r="J80" s="40">
        <v>45831</v>
      </c>
    </row>
    <row r="81" spans="1:10">
      <c r="A81" s="38"/>
      <c r="B81" s="30" t="s">
        <v>101</v>
      </c>
      <c r="C81" s="31">
        <v>2</v>
      </c>
      <c r="D81" s="31">
        <v>28</v>
      </c>
      <c r="E81" s="31">
        <v>3</v>
      </c>
      <c r="F81" s="31"/>
      <c r="G81" s="43" t="s">
        <v>213</v>
      </c>
      <c r="H81" s="40">
        <v>45831</v>
      </c>
      <c r="I81" s="43" t="s">
        <v>213</v>
      </c>
      <c r="J81" s="40">
        <v>45831</v>
      </c>
    </row>
    <row r="82" spans="1:10">
      <c r="A82" s="38"/>
      <c r="B82" s="30" t="s">
        <v>101</v>
      </c>
      <c r="C82" s="31">
        <v>2</v>
      </c>
      <c r="D82" s="31">
        <v>29</v>
      </c>
      <c r="E82" s="31">
        <v>3</v>
      </c>
      <c r="F82" s="31"/>
      <c r="G82" s="43" t="s">
        <v>213</v>
      </c>
      <c r="H82" s="40">
        <v>45831</v>
      </c>
      <c r="I82" s="43" t="s">
        <v>213</v>
      </c>
      <c r="J82" s="40">
        <v>45831</v>
      </c>
    </row>
    <row r="83" spans="1:10">
      <c r="A83" s="38"/>
      <c r="B83" s="30" t="s">
        <v>101</v>
      </c>
      <c r="C83" s="31">
        <v>2</v>
      </c>
      <c r="D83" s="31">
        <v>30</v>
      </c>
      <c r="E83" s="31">
        <v>3</v>
      </c>
      <c r="F83" s="31"/>
      <c r="G83" s="43" t="s">
        <v>213</v>
      </c>
      <c r="H83" s="40">
        <v>45831</v>
      </c>
      <c r="I83" s="43" t="s">
        <v>213</v>
      </c>
      <c r="J83" s="40">
        <v>45831</v>
      </c>
    </row>
    <row r="84" spans="1:10">
      <c r="A84" s="38"/>
      <c r="B84" s="30" t="s">
        <v>101</v>
      </c>
      <c r="C84" s="31">
        <v>2</v>
      </c>
      <c r="D84" s="31">
        <v>31</v>
      </c>
      <c r="E84" s="31">
        <v>3</v>
      </c>
      <c r="F84" s="31"/>
      <c r="G84" s="43" t="s">
        <v>213</v>
      </c>
      <c r="H84" s="40">
        <v>45831</v>
      </c>
      <c r="I84" s="43" t="s">
        <v>213</v>
      </c>
      <c r="J84" s="40">
        <v>45831</v>
      </c>
    </row>
    <row r="85" spans="1:10">
      <c r="A85" s="38"/>
      <c r="B85" s="30" t="s">
        <v>101</v>
      </c>
      <c r="C85" s="31">
        <v>2</v>
      </c>
      <c r="D85" s="31">
        <v>32</v>
      </c>
      <c r="E85" s="31">
        <v>3</v>
      </c>
      <c r="F85" s="31"/>
      <c r="G85" s="43" t="s">
        <v>213</v>
      </c>
      <c r="H85" s="40">
        <v>45831</v>
      </c>
      <c r="I85" s="43" t="s">
        <v>213</v>
      </c>
      <c r="J85" s="40">
        <v>45831</v>
      </c>
    </row>
    <row r="86" spans="1:10">
      <c r="A86" s="38"/>
      <c r="B86" s="30" t="s">
        <v>101</v>
      </c>
      <c r="C86" s="31">
        <v>2</v>
      </c>
      <c r="D86" s="31">
        <v>33</v>
      </c>
      <c r="E86" s="31">
        <v>3</v>
      </c>
      <c r="F86" s="31"/>
      <c r="G86" s="43" t="s">
        <v>213</v>
      </c>
      <c r="H86" s="40">
        <v>45831</v>
      </c>
      <c r="I86" s="43" t="s">
        <v>213</v>
      </c>
      <c r="J86" s="40">
        <v>45831</v>
      </c>
    </row>
    <row r="87" spans="1:10">
      <c r="A87" s="38"/>
      <c r="B87" s="30" t="s">
        <v>101</v>
      </c>
      <c r="C87" s="31">
        <v>2</v>
      </c>
      <c r="D87" s="31">
        <v>34</v>
      </c>
      <c r="E87" s="31">
        <v>3</v>
      </c>
      <c r="F87" s="31"/>
      <c r="G87" s="43" t="s">
        <v>213</v>
      </c>
      <c r="H87" s="40">
        <v>45831</v>
      </c>
      <c r="I87" s="43" t="s">
        <v>213</v>
      </c>
      <c r="J87" s="40">
        <v>45831</v>
      </c>
    </row>
    <row r="88" spans="1:10">
      <c r="A88" s="38"/>
      <c r="B88" s="30" t="s">
        <v>101</v>
      </c>
      <c r="C88" s="31">
        <v>2</v>
      </c>
      <c r="D88" s="31">
        <v>35</v>
      </c>
      <c r="E88" s="31">
        <v>3</v>
      </c>
      <c r="F88" s="31"/>
      <c r="G88" s="43" t="s">
        <v>213</v>
      </c>
      <c r="H88" s="40">
        <v>45831</v>
      </c>
      <c r="I88" s="43" t="s">
        <v>213</v>
      </c>
      <c r="J88" s="40">
        <v>45831</v>
      </c>
    </row>
    <row r="89" spans="1:10">
      <c r="A89" s="38"/>
      <c r="B89" s="30" t="s">
        <v>101</v>
      </c>
      <c r="C89" s="31">
        <v>2</v>
      </c>
      <c r="D89" s="31">
        <v>36</v>
      </c>
      <c r="E89" s="31">
        <v>3</v>
      </c>
      <c r="F89" s="31"/>
      <c r="G89" s="43" t="s">
        <v>213</v>
      </c>
      <c r="H89" s="40">
        <v>45831</v>
      </c>
      <c r="I89" s="43" t="s">
        <v>213</v>
      </c>
      <c r="J89" s="40">
        <v>45831</v>
      </c>
    </row>
    <row r="90" spans="1:10">
      <c r="A90" s="38"/>
      <c r="B90" s="30" t="s">
        <v>101</v>
      </c>
      <c r="C90" s="31">
        <v>2</v>
      </c>
      <c r="D90" s="31">
        <v>37</v>
      </c>
      <c r="E90" s="31">
        <v>3</v>
      </c>
      <c r="F90" s="31"/>
      <c r="G90" s="43" t="s">
        <v>213</v>
      </c>
      <c r="H90" s="40">
        <v>45831</v>
      </c>
      <c r="I90" s="43" t="s">
        <v>213</v>
      </c>
      <c r="J90" s="40">
        <v>45831</v>
      </c>
    </row>
    <row r="91" spans="1:10">
      <c r="A91" s="38"/>
      <c r="B91" s="30" t="s">
        <v>101</v>
      </c>
      <c r="C91" s="31">
        <v>2</v>
      </c>
      <c r="D91" s="31">
        <v>38</v>
      </c>
      <c r="E91" s="31">
        <v>3</v>
      </c>
      <c r="F91" s="31"/>
      <c r="G91" s="43" t="s">
        <v>213</v>
      </c>
      <c r="H91" s="40">
        <v>45831</v>
      </c>
      <c r="I91" s="43" t="s">
        <v>213</v>
      </c>
      <c r="J91" s="40">
        <v>45831</v>
      </c>
    </row>
    <row r="92" spans="1:10">
      <c r="A92" s="38"/>
      <c r="B92" s="30" t="s">
        <v>101</v>
      </c>
      <c r="C92" s="31">
        <v>2</v>
      </c>
      <c r="D92" s="31">
        <v>39</v>
      </c>
      <c r="E92" s="31">
        <v>3</v>
      </c>
      <c r="F92" s="31"/>
      <c r="G92" s="43" t="s">
        <v>213</v>
      </c>
      <c r="H92" s="40">
        <v>45831</v>
      </c>
      <c r="I92" s="43" t="s">
        <v>213</v>
      </c>
      <c r="J92" s="40">
        <v>45831</v>
      </c>
    </row>
    <row r="93" spans="1:10">
      <c r="A93" s="38"/>
      <c r="B93" s="30" t="s">
        <v>101</v>
      </c>
      <c r="C93" s="31">
        <v>2</v>
      </c>
      <c r="D93" s="31">
        <v>40</v>
      </c>
      <c r="E93" s="31">
        <v>3</v>
      </c>
      <c r="F93" s="31"/>
      <c r="G93" s="43" t="s">
        <v>213</v>
      </c>
      <c r="H93" s="40">
        <v>45831</v>
      </c>
      <c r="I93" s="43" t="s">
        <v>213</v>
      </c>
      <c r="J93" s="40">
        <v>45831</v>
      </c>
    </row>
    <row r="94" spans="1:10">
      <c r="A94" s="38"/>
      <c r="B94" s="30" t="s">
        <v>101</v>
      </c>
      <c r="C94" s="31">
        <v>2</v>
      </c>
      <c r="D94" s="31">
        <v>41</v>
      </c>
      <c r="E94" s="31">
        <v>3</v>
      </c>
      <c r="F94" s="31"/>
      <c r="G94" s="43" t="s">
        <v>213</v>
      </c>
      <c r="H94" s="40">
        <v>45831</v>
      </c>
      <c r="I94" s="43" t="s">
        <v>213</v>
      </c>
      <c r="J94" s="40">
        <v>45831</v>
      </c>
    </row>
    <row r="95" spans="1:10">
      <c r="A95" s="38"/>
      <c r="B95" s="30" t="s">
        <v>101</v>
      </c>
      <c r="C95" s="31">
        <v>2</v>
      </c>
      <c r="D95" s="31">
        <v>42</v>
      </c>
      <c r="E95" s="31">
        <v>3</v>
      </c>
      <c r="F95" s="31"/>
      <c r="G95" s="43" t="s">
        <v>213</v>
      </c>
      <c r="H95" s="40">
        <v>45831</v>
      </c>
      <c r="I95" s="43" t="s">
        <v>213</v>
      </c>
      <c r="J95" s="40">
        <v>45831</v>
      </c>
    </row>
    <row r="96" spans="1:10">
      <c r="A96" s="38"/>
      <c r="B96" s="30" t="s">
        <v>101</v>
      </c>
      <c r="C96" s="31">
        <v>2</v>
      </c>
      <c r="D96" s="31">
        <v>43</v>
      </c>
      <c r="E96" s="31">
        <v>2</v>
      </c>
      <c r="F96" s="31"/>
      <c r="G96" s="43" t="s">
        <v>213</v>
      </c>
      <c r="H96" s="40">
        <v>45831</v>
      </c>
      <c r="I96" s="43" t="s">
        <v>213</v>
      </c>
      <c r="J96" s="40">
        <v>45831</v>
      </c>
    </row>
    <row r="97" spans="1:10">
      <c r="A97" s="38"/>
      <c r="B97" s="30" t="s">
        <v>102</v>
      </c>
      <c r="C97" s="31">
        <v>3</v>
      </c>
      <c r="D97" s="31">
        <v>1</v>
      </c>
      <c r="E97" s="31">
        <v>2</v>
      </c>
      <c r="F97" s="31"/>
      <c r="G97" s="43" t="s">
        <v>213</v>
      </c>
      <c r="H97" s="40">
        <v>45831</v>
      </c>
      <c r="I97" s="43" t="s">
        <v>213</v>
      </c>
      <c r="J97" s="40">
        <v>45831</v>
      </c>
    </row>
    <row r="98" spans="1:10">
      <c r="A98" s="38"/>
      <c r="B98" s="30" t="s">
        <v>102</v>
      </c>
      <c r="C98" s="31">
        <v>3</v>
      </c>
      <c r="D98" s="31">
        <v>2</v>
      </c>
      <c r="E98" s="31">
        <v>2</v>
      </c>
      <c r="F98" s="31"/>
      <c r="G98" s="43" t="s">
        <v>213</v>
      </c>
      <c r="H98" s="40">
        <v>45831</v>
      </c>
      <c r="I98" s="43" t="s">
        <v>213</v>
      </c>
      <c r="J98" s="40">
        <v>45831</v>
      </c>
    </row>
    <row r="99" spans="1:10">
      <c r="A99" s="38"/>
      <c r="B99" s="30" t="s">
        <v>102</v>
      </c>
      <c r="C99" s="31">
        <v>3</v>
      </c>
      <c r="D99" s="31">
        <v>3</v>
      </c>
      <c r="E99" s="31">
        <v>2</v>
      </c>
      <c r="F99" s="31"/>
      <c r="G99" s="43" t="s">
        <v>213</v>
      </c>
      <c r="H99" s="40">
        <v>45831</v>
      </c>
      <c r="I99" s="43" t="s">
        <v>213</v>
      </c>
      <c r="J99" s="40">
        <v>45831</v>
      </c>
    </row>
    <row r="100" spans="1:10">
      <c r="A100" s="38"/>
      <c r="B100" s="30" t="s">
        <v>102</v>
      </c>
      <c r="C100" s="31">
        <v>3</v>
      </c>
      <c r="D100" s="31">
        <v>4</v>
      </c>
      <c r="E100" s="31">
        <v>2</v>
      </c>
      <c r="F100" s="31"/>
      <c r="G100" s="43" t="s">
        <v>213</v>
      </c>
      <c r="H100" s="40">
        <v>45831</v>
      </c>
      <c r="I100" s="43" t="s">
        <v>213</v>
      </c>
      <c r="J100" s="40">
        <v>45831</v>
      </c>
    </row>
    <row r="101" spans="1:10">
      <c r="A101" s="38"/>
      <c r="B101" s="30" t="s">
        <v>102</v>
      </c>
      <c r="C101" s="31">
        <v>3</v>
      </c>
      <c r="D101" s="31">
        <v>5</v>
      </c>
      <c r="E101" s="31">
        <v>2</v>
      </c>
      <c r="F101" s="31"/>
      <c r="G101" s="43" t="s">
        <v>213</v>
      </c>
      <c r="H101" s="40">
        <v>45831</v>
      </c>
      <c r="I101" s="43" t="s">
        <v>213</v>
      </c>
      <c r="J101" s="40">
        <v>45831</v>
      </c>
    </row>
    <row r="102" spans="1:10">
      <c r="A102" s="38"/>
      <c r="B102" s="30" t="s">
        <v>102</v>
      </c>
      <c r="C102" s="31">
        <v>3</v>
      </c>
      <c r="D102" s="31">
        <v>6</v>
      </c>
      <c r="E102" s="31">
        <v>2</v>
      </c>
      <c r="F102" s="31"/>
      <c r="G102" s="43" t="s">
        <v>213</v>
      </c>
      <c r="H102" s="40">
        <v>45831</v>
      </c>
      <c r="I102" s="43" t="s">
        <v>213</v>
      </c>
      <c r="J102" s="40">
        <v>45831</v>
      </c>
    </row>
    <row r="103" spans="1:10">
      <c r="A103" s="38"/>
      <c r="B103" s="30" t="s">
        <v>102</v>
      </c>
      <c r="C103" s="31">
        <v>3</v>
      </c>
      <c r="D103" s="31">
        <v>7</v>
      </c>
      <c r="E103" s="31">
        <v>2</v>
      </c>
      <c r="F103" s="31"/>
      <c r="G103" s="43" t="s">
        <v>213</v>
      </c>
      <c r="H103" s="40">
        <v>45831</v>
      </c>
      <c r="I103" s="43" t="s">
        <v>213</v>
      </c>
      <c r="J103" s="40">
        <v>45831</v>
      </c>
    </row>
    <row r="104" spans="1:10">
      <c r="A104" s="38"/>
      <c r="B104" s="30" t="s">
        <v>102</v>
      </c>
      <c r="C104" s="31">
        <v>3</v>
      </c>
      <c r="D104" s="31">
        <v>8</v>
      </c>
      <c r="E104" s="31">
        <v>2</v>
      </c>
      <c r="F104" s="31"/>
      <c r="G104" s="43" t="s">
        <v>213</v>
      </c>
      <c r="H104" s="40">
        <v>45831</v>
      </c>
      <c r="I104" s="43" t="s">
        <v>213</v>
      </c>
      <c r="J104" s="40">
        <v>45831</v>
      </c>
    </row>
    <row r="105" spans="1:10">
      <c r="A105" s="38"/>
      <c r="B105" s="30" t="s">
        <v>102</v>
      </c>
      <c r="C105" s="31">
        <v>3</v>
      </c>
      <c r="D105" s="31">
        <v>9</v>
      </c>
      <c r="E105" s="31">
        <v>2</v>
      </c>
      <c r="F105" s="31"/>
      <c r="G105" s="43" t="s">
        <v>213</v>
      </c>
      <c r="H105" s="40">
        <v>45831</v>
      </c>
      <c r="I105" s="43" t="s">
        <v>213</v>
      </c>
      <c r="J105" s="40">
        <v>45831</v>
      </c>
    </row>
    <row r="106" spans="1:10">
      <c r="A106" s="38"/>
      <c r="B106" s="30" t="s">
        <v>102</v>
      </c>
      <c r="C106" s="31">
        <v>3</v>
      </c>
      <c r="D106" s="31">
        <v>10</v>
      </c>
      <c r="E106" s="31">
        <v>2</v>
      </c>
      <c r="F106" s="31"/>
      <c r="G106" s="43" t="s">
        <v>213</v>
      </c>
      <c r="H106" s="40">
        <v>45831</v>
      </c>
      <c r="I106" s="43" t="s">
        <v>213</v>
      </c>
      <c r="J106" s="40">
        <v>45831</v>
      </c>
    </row>
    <row r="107" spans="1:10">
      <c r="A107" s="38"/>
      <c r="B107" s="30" t="s">
        <v>102</v>
      </c>
      <c r="C107" s="31">
        <v>3</v>
      </c>
      <c r="D107" s="31">
        <v>11</v>
      </c>
      <c r="E107" s="31">
        <v>2</v>
      </c>
      <c r="F107" s="31"/>
      <c r="G107" s="43" t="s">
        <v>213</v>
      </c>
      <c r="H107" s="40">
        <v>45831</v>
      </c>
      <c r="I107" s="43" t="s">
        <v>213</v>
      </c>
      <c r="J107" s="40">
        <v>45831</v>
      </c>
    </row>
    <row r="108" spans="1:10">
      <c r="A108" s="38"/>
      <c r="B108" s="30" t="s">
        <v>102</v>
      </c>
      <c r="C108" s="31">
        <v>3</v>
      </c>
      <c r="D108" s="31">
        <v>12</v>
      </c>
      <c r="E108" s="31">
        <v>2</v>
      </c>
      <c r="F108" s="31"/>
      <c r="G108" s="43" t="s">
        <v>213</v>
      </c>
      <c r="H108" s="40">
        <v>45831</v>
      </c>
      <c r="I108" s="43" t="s">
        <v>213</v>
      </c>
      <c r="J108" s="40">
        <v>45831</v>
      </c>
    </row>
    <row r="109" spans="1:10">
      <c r="A109" s="38"/>
      <c r="B109" s="30" t="s">
        <v>102</v>
      </c>
      <c r="C109" s="31">
        <v>3</v>
      </c>
      <c r="D109" s="31">
        <v>13</v>
      </c>
      <c r="E109" s="31">
        <v>2</v>
      </c>
      <c r="F109" s="31"/>
      <c r="G109" s="43" t="s">
        <v>213</v>
      </c>
      <c r="H109" s="40">
        <v>45831</v>
      </c>
      <c r="I109" s="43" t="s">
        <v>213</v>
      </c>
      <c r="J109" s="40">
        <v>45831</v>
      </c>
    </row>
    <row r="110" spans="1:10">
      <c r="A110" s="38"/>
      <c r="B110" s="30" t="s">
        <v>102</v>
      </c>
      <c r="C110" s="31">
        <v>3</v>
      </c>
      <c r="D110" s="31">
        <v>14</v>
      </c>
      <c r="E110" s="31">
        <v>2</v>
      </c>
      <c r="F110" s="31"/>
      <c r="G110" s="43" t="s">
        <v>213</v>
      </c>
      <c r="H110" s="40">
        <v>45831</v>
      </c>
      <c r="I110" s="43" t="s">
        <v>213</v>
      </c>
      <c r="J110" s="40">
        <v>45831</v>
      </c>
    </row>
    <row r="111" spans="1:10">
      <c r="A111" s="38"/>
      <c r="B111" s="30" t="s">
        <v>102</v>
      </c>
      <c r="C111" s="31">
        <v>3</v>
      </c>
      <c r="D111" s="31">
        <v>15</v>
      </c>
      <c r="E111" s="31">
        <v>2</v>
      </c>
      <c r="F111" s="31"/>
      <c r="G111" s="43" t="s">
        <v>213</v>
      </c>
      <c r="H111" s="40">
        <v>45831</v>
      </c>
      <c r="I111" s="43" t="s">
        <v>213</v>
      </c>
      <c r="J111" s="40">
        <v>45831</v>
      </c>
    </row>
    <row r="112" spans="1:10">
      <c r="A112" s="38"/>
      <c r="B112" s="30" t="s">
        <v>102</v>
      </c>
      <c r="C112" s="31">
        <v>3</v>
      </c>
      <c r="D112" s="31">
        <v>16</v>
      </c>
      <c r="E112" s="31">
        <v>2</v>
      </c>
      <c r="F112" s="31"/>
      <c r="G112" s="43" t="s">
        <v>213</v>
      </c>
      <c r="H112" s="40">
        <v>45831</v>
      </c>
      <c r="I112" s="43" t="s">
        <v>213</v>
      </c>
      <c r="J112" s="40">
        <v>45831</v>
      </c>
    </row>
    <row r="113" spans="1:10">
      <c r="A113" s="38"/>
      <c r="B113" s="30" t="s">
        <v>102</v>
      </c>
      <c r="C113" s="31">
        <v>3</v>
      </c>
      <c r="D113" s="31">
        <v>17</v>
      </c>
      <c r="E113" s="31">
        <v>2</v>
      </c>
      <c r="F113" s="31"/>
      <c r="G113" s="43" t="s">
        <v>213</v>
      </c>
      <c r="H113" s="40">
        <v>45831</v>
      </c>
      <c r="I113" s="43" t="s">
        <v>213</v>
      </c>
      <c r="J113" s="40">
        <v>45831</v>
      </c>
    </row>
    <row r="114" spans="1:10">
      <c r="A114" s="38"/>
      <c r="B114" s="30" t="s">
        <v>102</v>
      </c>
      <c r="C114" s="31">
        <v>3</v>
      </c>
      <c r="D114" s="31">
        <v>18</v>
      </c>
      <c r="E114" s="31">
        <v>2</v>
      </c>
      <c r="F114" s="31"/>
      <c r="G114" s="43" t="s">
        <v>213</v>
      </c>
      <c r="H114" s="40">
        <v>45831</v>
      </c>
      <c r="I114" s="43" t="s">
        <v>213</v>
      </c>
      <c r="J114" s="40">
        <v>45831</v>
      </c>
    </row>
    <row r="115" spans="1:10">
      <c r="A115" s="38"/>
      <c r="B115" s="30" t="s">
        <v>102</v>
      </c>
      <c r="C115" s="31">
        <v>3</v>
      </c>
      <c r="D115" s="31">
        <v>19</v>
      </c>
      <c r="E115" s="31">
        <v>2</v>
      </c>
      <c r="F115" s="31"/>
      <c r="G115" s="43" t="s">
        <v>213</v>
      </c>
      <c r="H115" s="40">
        <v>45831</v>
      </c>
      <c r="I115" s="43" t="s">
        <v>213</v>
      </c>
      <c r="J115" s="40">
        <v>45831</v>
      </c>
    </row>
    <row r="116" spans="1:10">
      <c r="A116" s="38"/>
      <c r="B116" s="30" t="s">
        <v>102</v>
      </c>
      <c r="C116" s="31">
        <v>3</v>
      </c>
      <c r="D116" s="31">
        <v>20</v>
      </c>
      <c r="E116" s="31">
        <v>2</v>
      </c>
      <c r="F116" s="31"/>
      <c r="G116" s="43" t="s">
        <v>213</v>
      </c>
      <c r="H116" s="40">
        <v>45831</v>
      </c>
      <c r="I116" s="43" t="s">
        <v>213</v>
      </c>
      <c r="J116" s="40">
        <v>45831</v>
      </c>
    </row>
    <row r="117" spans="1:10">
      <c r="A117" s="38"/>
      <c r="B117" s="30" t="s">
        <v>102</v>
      </c>
      <c r="C117" s="31">
        <v>3</v>
      </c>
      <c r="D117" s="31">
        <v>21</v>
      </c>
      <c r="E117" s="31">
        <v>2</v>
      </c>
      <c r="F117" s="31"/>
      <c r="G117" s="43" t="s">
        <v>213</v>
      </c>
      <c r="H117" s="40">
        <v>45831</v>
      </c>
      <c r="I117" s="43" t="s">
        <v>213</v>
      </c>
      <c r="J117" s="40">
        <v>45831</v>
      </c>
    </row>
    <row r="118" spans="1:10">
      <c r="A118" s="38"/>
      <c r="B118" s="30" t="s">
        <v>102</v>
      </c>
      <c r="C118" s="31">
        <v>3</v>
      </c>
      <c r="D118" s="31">
        <v>22</v>
      </c>
      <c r="E118" s="31">
        <v>2</v>
      </c>
      <c r="F118" s="31"/>
      <c r="G118" s="43" t="s">
        <v>213</v>
      </c>
      <c r="H118" s="40">
        <v>45831</v>
      </c>
      <c r="I118" s="43" t="s">
        <v>213</v>
      </c>
      <c r="J118" s="40">
        <v>45831</v>
      </c>
    </row>
    <row r="119" spans="1:10">
      <c r="A119" s="38"/>
      <c r="B119" s="30" t="s">
        <v>102</v>
      </c>
      <c r="C119" s="31">
        <v>3</v>
      </c>
      <c r="D119" s="31">
        <v>23</v>
      </c>
      <c r="E119" s="31">
        <v>2</v>
      </c>
      <c r="F119" s="31"/>
      <c r="G119" s="43" t="s">
        <v>213</v>
      </c>
      <c r="H119" s="40">
        <v>45831</v>
      </c>
      <c r="I119" s="43" t="s">
        <v>213</v>
      </c>
      <c r="J119" s="40">
        <v>45831</v>
      </c>
    </row>
    <row r="120" spans="1:10">
      <c r="A120" s="38"/>
      <c r="B120" s="30" t="s">
        <v>102</v>
      </c>
      <c r="C120" s="31">
        <v>3</v>
      </c>
      <c r="D120" s="31">
        <v>24</v>
      </c>
      <c r="E120" s="31">
        <v>2</v>
      </c>
      <c r="F120" s="31"/>
      <c r="G120" s="43" t="s">
        <v>213</v>
      </c>
      <c r="H120" s="40">
        <v>45831</v>
      </c>
      <c r="I120" s="43" t="s">
        <v>213</v>
      </c>
      <c r="J120" s="40">
        <v>45831</v>
      </c>
    </row>
    <row r="121" spans="1:10">
      <c r="A121" s="38"/>
      <c r="B121" s="30" t="s">
        <v>102</v>
      </c>
      <c r="C121" s="31">
        <v>3</v>
      </c>
      <c r="D121" s="31">
        <v>25</v>
      </c>
      <c r="E121" s="31">
        <v>2</v>
      </c>
      <c r="F121" s="31"/>
      <c r="G121" s="43" t="s">
        <v>213</v>
      </c>
      <c r="H121" s="40">
        <v>45831</v>
      </c>
      <c r="I121" s="43" t="s">
        <v>213</v>
      </c>
      <c r="J121" s="40">
        <v>45831</v>
      </c>
    </row>
    <row r="122" spans="1:10">
      <c r="A122" s="38"/>
      <c r="B122" s="30" t="s">
        <v>102</v>
      </c>
      <c r="C122" s="31">
        <v>3</v>
      </c>
      <c r="D122" s="31">
        <v>26</v>
      </c>
      <c r="E122" s="31">
        <v>2</v>
      </c>
      <c r="F122" s="31"/>
      <c r="G122" s="43" t="s">
        <v>213</v>
      </c>
      <c r="H122" s="40">
        <v>45831</v>
      </c>
      <c r="I122" s="43" t="s">
        <v>213</v>
      </c>
      <c r="J122" s="40">
        <v>45831</v>
      </c>
    </row>
    <row r="123" spans="1:10">
      <c r="A123" s="38"/>
      <c r="B123" s="30" t="s">
        <v>102</v>
      </c>
      <c r="C123" s="31">
        <v>3</v>
      </c>
      <c r="D123" s="31">
        <v>27</v>
      </c>
      <c r="E123" s="31">
        <v>2</v>
      </c>
      <c r="F123" s="31"/>
      <c r="G123" s="43" t="s">
        <v>213</v>
      </c>
      <c r="H123" s="40">
        <v>45831</v>
      </c>
      <c r="I123" s="43" t="s">
        <v>213</v>
      </c>
      <c r="J123" s="40">
        <v>45831</v>
      </c>
    </row>
    <row r="124" spans="1:10">
      <c r="A124" s="38"/>
      <c r="B124" s="30" t="s">
        <v>102</v>
      </c>
      <c r="C124" s="31">
        <v>3</v>
      </c>
      <c r="D124" s="31">
        <v>28</v>
      </c>
      <c r="E124" s="31">
        <v>2</v>
      </c>
      <c r="F124" s="31"/>
      <c r="G124" s="43" t="s">
        <v>213</v>
      </c>
      <c r="H124" s="40">
        <v>45831</v>
      </c>
      <c r="I124" s="43" t="s">
        <v>213</v>
      </c>
      <c r="J124" s="40">
        <v>45831</v>
      </c>
    </row>
    <row r="125" spans="1:10">
      <c r="A125" s="38"/>
      <c r="B125" s="30" t="s">
        <v>102</v>
      </c>
      <c r="C125" s="31">
        <v>3</v>
      </c>
      <c r="D125" s="31">
        <v>29</v>
      </c>
      <c r="E125" s="31">
        <v>2</v>
      </c>
      <c r="F125" s="31"/>
      <c r="G125" s="43" t="s">
        <v>213</v>
      </c>
      <c r="H125" s="40">
        <v>45831</v>
      </c>
      <c r="I125" s="43" t="s">
        <v>213</v>
      </c>
      <c r="J125" s="40">
        <v>45831</v>
      </c>
    </row>
    <row r="126" spans="1:10">
      <c r="A126" s="38"/>
      <c r="B126" s="30" t="s">
        <v>102</v>
      </c>
      <c r="C126" s="31">
        <v>3</v>
      </c>
      <c r="D126" s="31">
        <v>30</v>
      </c>
      <c r="E126" s="31">
        <v>2</v>
      </c>
      <c r="F126" s="31"/>
      <c r="G126" s="43" t="s">
        <v>213</v>
      </c>
      <c r="H126" s="40">
        <v>45831</v>
      </c>
      <c r="I126" s="43" t="s">
        <v>213</v>
      </c>
      <c r="J126" s="40">
        <v>45831</v>
      </c>
    </row>
    <row r="127" spans="1:10">
      <c r="A127" s="38"/>
      <c r="B127" s="30" t="s">
        <v>102</v>
      </c>
      <c r="C127" s="31">
        <v>3</v>
      </c>
      <c r="D127" s="31">
        <v>31</v>
      </c>
      <c r="E127" s="31">
        <v>2</v>
      </c>
      <c r="F127" s="31"/>
      <c r="G127" s="43" t="s">
        <v>213</v>
      </c>
      <c r="H127" s="40">
        <v>45831</v>
      </c>
      <c r="I127" s="43" t="s">
        <v>213</v>
      </c>
      <c r="J127" s="40">
        <v>45831</v>
      </c>
    </row>
    <row r="128" spans="1:10">
      <c r="A128" s="38"/>
      <c r="B128" s="30" t="s">
        <v>102</v>
      </c>
      <c r="C128" s="31">
        <v>3</v>
      </c>
      <c r="D128" s="31">
        <v>32</v>
      </c>
      <c r="E128" s="31">
        <v>2</v>
      </c>
      <c r="F128" s="31"/>
      <c r="G128" s="43" t="s">
        <v>213</v>
      </c>
      <c r="H128" s="40">
        <v>45831</v>
      </c>
      <c r="I128" s="43" t="s">
        <v>213</v>
      </c>
      <c r="J128" s="40">
        <v>45831</v>
      </c>
    </row>
    <row r="129" spans="1:10">
      <c r="A129" s="38"/>
      <c r="B129" s="30" t="s">
        <v>102</v>
      </c>
      <c r="C129" s="31">
        <v>3</v>
      </c>
      <c r="D129" s="31">
        <v>33</v>
      </c>
      <c r="E129" s="31">
        <v>2</v>
      </c>
      <c r="F129" s="31"/>
      <c r="G129" s="43" t="s">
        <v>213</v>
      </c>
      <c r="H129" s="40">
        <v>45831</v>
      </c>
      <c r="I129" s="43" t="s">
        <v>213</v>
      </c>
      <c r="J129" s="40">
        <v>45831</v>
      </c>
    </row>
    <row r="130" spans="1:10">
      <c r="A130" s="38"/>
      <c r="B130" s="30" t="s">
        <v>102</v>
      </c>
      <c r="C130" s="31">
        <v>3</v>
      </c>
      <c r="D130" s="31">
        <v>34</v>
      </c>
      <c r="E130" s="31">
        <v>2</v>
      </c>
      <c r="F130" s="31"/>
      <c r="G130" s="43" t="s">
        <v>213</v>
      </c>
      <c r="H130" s="40">
        <v>45831</v>
      </c>
      <c r="I130" s="43" t="s">
        <v>213</v>
      </c>
      <c r="J130" s="40">
        <v>45831</v>
      </c>
    </row>
    <row r="131" spans="1:10">
      <c r="A131" s="38"/>
      <c r="B131" s="30" t="s">
        <v>102</v>
      </c>
      <c r="C131" s="31">
        <v>3</v>
      </c>
      <c r="D131" s="31">
        <v>35</v>
      </c>
      <c r="E131" s="31">
        <v>2</v>
      </c>
      <c r="F131" s="31"/>
      <c r="G131" s="43" t="s">
        <v>213</v>
      </c>
      <c r="H131" s="40">
        <v>45831</v>
      </c>
      <c r="I131" s="43" t="s">
        <v>213</v>
      </c>
      <c r="J131" s="40">
        <v>45831</v>
      </c>
    </row>
    <row r="132" spans="1:10">
      <c r="A132" s="38"/>
      <c r="B132" s="30" t="s">
        <v>102</v>
      </c>
      <c r="C132" s="31">
        <v>3</v>
      </c>
      <c r="D132" s="31">
        <v>36</v>
      </c>
      <c r="E132" s="31">
        <v>2</v>
      </c>
      <c r="F132" s="31"/>
      <c r="G132" s="43" t="s">
        <v>213</v>
      </c>
      <c r="H132" s="40">
        <v>45831</v>
      </c>
      <c r="I132" s="43" t="s">
        <v>213</v>
      </c>
      <c r="J132" s="40">
        <v>45831</v>
      </c>
    </row>
    <row r="133" spans="1:10">
      <c r="A133" s="38"/>
      <c r="B133" s="30" t="s">
        <v>102</v>
      </c>
      <c r="C133" s="31">
        <v>3</v>
      </c>
      <c r="D133" s="31">
        <v>37</v>
      </c>
      <c r="E133" s="31">
        <v>2</v>
      </c>
      <c r="F133" s="31"/>
      <c r="G133" s="43" t="s">
        <v>213</v>
      </c>
      <c r="H133" s="40">
        <v>45831</v>
      </c>
      <c r="I133" s="43" t="s">
        <v>213</v>
      </c>
      <c r="J133" s="40">
        <v>45831</v>
      </c>
    </row>
    <row r="134" spans="1:10">
      <c r="A134" s="38"/>
      <c r="B134" s="30" t="s">
        <v>102</v>
      </c>
      <c r="C134" s="31">
        <v>3</v>
      </c>
      <c r="D134" s="31">
        <v>38</v>
      </c>
      <c r="E134" s="31">
        <v>2</v>
      </c>
      <c r="F134" s="31"/>
      <c r="G134" s="43" t="s">
        <v>213</v>
      </c>
      <c r="H134" s="40">
        <v>45831</v>
      </c>
      <c r="I134" s="43" t="s">
        <v>213</v>
      </c>
      <c r="J134" s="40">
        <v>45831</v>
      </c>
    </row>
    <row r="135" spans="1:10">
      <c r="A135" s="38"/>
      <c r="B135" s="30" t="s">
        <v>102</v>
      </c>
      <c r="C135" s="31">
        <v>3</v>
      </c>
      <c r="D135" s="31">
        <v>39</v>
      </c>
      <c r="E135" s="31">
        <v>2</v>
      </c>
      <c r="F135" s="31"/>
      <c r="G135" s="43" t="s">
        <v>213</v>
      </c>
      <c r="H135" s="40">
        <v>45831</v>
      </c>
      <c r="I135" s="43" t="s">
        <v>213</v>
      </c>
      <c r="J135" s="40">
        <v>45831</v>
      </c>
    </row>
    <row r="136" spans="1:10">
      <c r="A136" s="38"/>
      <c r="B136" s="30" t="s">
        <v>102</v>
      </c>
      <c r="C136" s="31">
        <v>3</v>
      </c>
      <c r="D136" s="31">
        <v>40</v>
      </c>
      <c r="E136" s="31">
        <v>2</v>
      </c>
      <c r="F136" s="31"/>
      <c r="G136" s="43" t="s">
        <v>213</v>
      </c>
      <c r="H136" s="40">
        <v>45831</v>
      </c>
      <c r="I136" s="43" t="s">
        <v>213</v>
      </c>
      <c r="J136" s="40">
        <v>45831</v>
      </c>
    </row>
    <row r="137" spans="1:10">
      <c r="A137" s="38"/>
      <c r="B137" s="30" t="s">
        <v>102</v>
      </c>
      <c r="C137" s="31">
        <v>3</v>
      </c>
      <c r="D137" s="31">
        <v>41</v>
      </c>
      <c r="E137" s="31">
        <v>2</v>
      </c>
      <c r="F137" s="31"/>
      <c r="G137" s="43" t="s">
        <v>213</v>
      </c>
      <c r="H137" s="40">
        <v>45831</v>
      </c>
      <c r="I137" s="43" t="s">
        <v>213</v>
      </c>
      <c r="J137" s="40">
        <v>45831</v>
      </c>
    </row>
    <row r="138" spans="1:10">
      <c r="A138" s="38"/>
      <c r="B138" s="30" t="s">
        <v>102</v>
      </c>
      <c r="C138" s="31">
        <v>3</v>
      </c>
      <c r="D138" s="31">
        <v>42</v>
      </c>
      <c r="E138" s="31">
        <v>2</v>
      </c>
      <c r="F138" s="31"/>
      <c r="G138" s="43" t="s">
        <v>213</v>
      </c>
      <c r="H138" s="40">
        <v>45831</v>
      </c>
      <c r="I138" s="43" t="s">
        <v>213</v>
      </c>
      <c r="J138" s="40">
        <v>45831</v>
      </c>
    </row>
    <row r="139" spans="1:10">
      <c r="A139" s="38"/>
      <c r="B139" s="30" t="s">
        <v>102</v>
      </c>
      <c r="C139" s="31">
        <v>3</v>
      </c>
      <c r="D139" s="31">
        <v>43</v>
      </c>
      <c r="E139" s="31">
        <v>2</v>
      </c>
      <c r="F139" s="31"/>
      <c r="G139" s="43" t="s">
        <v>213</v>
      </c>
      <c r="H139" s="40">
        <v>45831</v>
      </c>
      <c r="I139" s="43" t="s">
        <v>213</v>
      </c>
      <c r="J139" s="40">
        <v>45831</v>
      </c>
    </row>
    <row r="140" spans="1:10">
      <c r="A140" s="38"/>
      <c r="B140" s="30" t="s">
        <v>103</v>
      </c>
      <c r="C140" s="31">
        <v>4</v>
      </c>
      <c r="D140" s="31">
        <v>1</v>
      </c>
      <c r="E140" s="31">
        <v>1</v>
      </c>
      <c r="F140" s="31"/>
      <c r="G140" s="43" t="s">
        <v>213</v>
      </c>
      <c r="H140" s="40">
        <v>45831</v>
      </c>
      <c r="I140" s="43" t="s">
        <v>213</v>
      </c>
      <c r="J140" s="40">
        <v>45831</v>
      </c>
    </row>
    <row r="141" spans="1:10">
      <c r="A141" s="38"/>
      <c r="B141" s="30" t="s">
        <v>103</v>
      </c>
      <c r="C141" s="31">
        <v>4</v>
      </c>
      <c r="D141" s="31">
        <v>2</v>
      </c>
      <c r="E141" s="31">
        <v>1</v>
      </c>
      <c r="F141" s="31"/>
      <c r="G141" s="43" t="s">
        <v>213</v>
      </c>
      <c r="H141" s="40">
        <v>45831</v>
      </c>
      <c r="I141" s="43" t="s">
        <v>213</v>
      </c>
      <c r="J141" s="40">
        <v>45831</v>
      </c>
    </row>
    <row r="142" spans="1:10">
      <c r="A142" s="38"/>
      <c r="B142" s="30" t="s">
        <v>103</v>
      </c>
      <c r="C142" s="31">
        <v>4</v>
      </c>
      <c r="D142" s="31">
        <v>3</v>
      </c>
      <c r="E142" s="31">
        <v>1</v>
      </c>
      <c r="F142" s="31"/>
      <c r="G142" s="43" t="s">
        <v>213</v>
      </c>
      <c r="H142" s="40">
        <v>45831</v>
      </c>
      <c r="I142" s="43" t="s">
        <v>213</v>
      </c>
      <c r="J142" s="40">
        <v>45831</v>
      </c>
    </row>
    <row r="143" spans="1:10">
      <c r="A143" s="38"/>
      <c r="B143" s="30" t="s">
        <v>103</v>
      </c>
      <c r="C143" s="31">
        <v>4</v>
      </c>
      <c r="D143" s="31">
        <v>4</v>
      </c>
      <c r="E143" s="31">
        <v>1</v>
      </c>
      <c r="F143" s="31"/>
      <c r="G143" s="43" t="s">
        <v>213</v>
      </c>
      <c r="H143" s="40">
        <v>45831</v>
      </c>
      <c r="I143" s="43" t="s">
        <v>213</v>
      </c>
      <c r="J143" s="40">
        <v>45831</v>
      </c>
    </row>
    <row r="144" spans="1:10">
      <c r="A144" s="38"/>
      <c r="B144" s="30" t="s">
        <v>103</v>
      </c>
      <c r="C144" s="31">
        <v>4</v>
      </c>
      <c r="D144" s="31">
        <v>5</v>
      </c>
      <c r="E144" s="31">
        <v>1</v>
      </c>
      <c r="F144" s="31"/>
      <c r="G144" s="43" t="s">
        <v>213</v>
      </c>
      <c r="H144" s="40">
        <v>45831</v>
      </c>
      <c r="I144" s="43" t="s">
        <v>213</v>
      </c>
      <c r="J144" s="40">
        <v>45831</v>
      </c>
    </row>
    <row r="145" spans="1:10">
      <c r="A145" s="38"/>
      <c r="B145" s="30" t="s">
        <v>103</v>
      </c>
      <c r="C145" s="31">
        <v>4</v>
      </c>
      <c r="D145" s="31">
        <v>6</v>
      </c>
      <c r="E145" s="31">
        <v>1</v>
      </c>
      <c r="F145" s="31"/>
      <c r="G145" s="43" t="s">
        <v>213</v>
      </c>
      <c r="H145" s="40">
        <v>45831</v>
      </c>
      <c r="I145" s="43" t="s">
        <v>213</v>
      </c>
      <c r="J145" s="40">
        <v>45831</v>
      </c>
    </row>
    <row r="146" spans="1:10">
      <c r="A146" s="38"/>
      <c r="B146" s="30" t="s">
        <v>103</v>
      </c>
      <c r="C146" s="31">
        <v>4</v>
      </c>
      <c r="D146" s="31">
        <v>7</v>
      </c>
      <c r="E146" s="31">
        <v>1</v>
      </c>
      <c r="F146" s="31"/>
      <c r="G146" s="43" t="s">
        <v>213</v>
      </c>
      <c r="H146" s="40">
        <v>45831</v>
      </c>
      <c r="I146" s="43" t="s">
        <v>213</v>
      </c>
      <c r="J146" s="40">
        <v>45831</v>
      </c>
    </row>
    <row r="147" spans="1:10">
      <c r="A147" s="38"/>
      <c r="B147" s="30" t="s">
        <v>103</v>
      </c>
      <c r="C147" s="31">
        <v>4</v>
      </c>
      <c r="D147" s="31">
        <v>8</v>
      </c>
      <c r="E147" s="31">
        <v>1</v>
      </c>
      <c r="F147" s="31"/>
      <c r="G147" s="43" t="s">
        <v>213</v>
      </c>
      <c r="H147" s="40">
        <v>45831</v>
      </c>
      <c r="I147" s="43" t="s">
        <v>213</v>
      </c>
      <c r="J147" s="40">
        <v>45831</v>
      </c>
    </row>
    <row r="148" spans="1:10">
      <c r="A148" s="38"/>
      <c r="B148" s="30" t="s">
        <v>103</v>
      </c>
      <c r="C148" s="31">
        <v>4</v>
      </c>
      <c r="D148" s="31">
        <v>9</v>
      </c>
      <c r="E148" s="31">
        <v>1</v>
      </c>
      <c r="F148" s="31"/>
      <c r="G148" s="43" t="s">
        <v>213</v>
      </c>
      <c r="H148" s="40">
        <v>45831</v>
      </c>
      <c r="I148" s="43" t="s">
        <v>213</v>
      </c>
      <c r="J148" s="40">
        <v>45831</v>
      </c>
    </row>
    <row r="149" spans="1:10">
      <c r="A149" s="38"/>
      <c r="B149" s="30" t="s">
        <v>103</v>
      </c>
      <c r="C149" s="31">
        <v>4</v>
      </c>
      <c r="D149" s="31">
        <v>10</v>
      </c>
      <c r="E149" s="31">
        <v>1</v>
      </c>
      <c r="F149" s="31"/>
      <c r="G149" s="43" t="s">
        <v>213</v>
      </c>
      <c r="H149" s="40">
        <v>45831</v>
      </c>
      <c r="I149" s="43" t="s">
        <v>213</v>
      </c>
      <c r="J149" s="40">
        <v>45831</v>
      </c>
    </row>
    <row r="150" spans="1:10">
      <c r="A150" s="38"/>
      <c r="B150" s="30" t="s">
        <v>103</v>
      </c>
      <c r="C150" s="31">
        <v>4</v>
      </c>
      <c r="D150" s="31">
        <v>11</v>
      </c>
      <c r="E150" s="31">
        <v>1</v>
      </c>
      <c r="F150" s="31"/>
      <c r="G150" s="43" t="s">
        <v>213</v>
      </c>
      <c r="H150" s="40">
        <v>45831</v>
      </c>
      <c r="I150" s="43" t="s">
        <v>213</v>
      </c>
      <c r="J150" s="40">
        <v>45831</v>
      </c>
    </row>
    <row r="151" spans="1:10">
      <c r="A151" s="38"/>
      <c r="B151" s="30" t="s">
        <v>103</v>
      </c>
      <c r="C151" s="31">
        <v>4</v>
      </c>
      <c r="D151" s="31">
        <v>12</v>
      </c>
      <c r="E151" s="31">
        <v>1</v>
      </c>
      <c r="F151" s="31"/>
      <c r="G151" s="43" t="s">
        <v>213</v>
      </c>
      <c r="H151" s="40">
        <v>45831</v>
      </c>
      <c r="I151" s="43" t="s">
        <v>213</v>
      </c>
      <c r="J151" s="40">
        <v>45831</v>
      </c>
    </row>
    <row r="152" spans="1:10">
      <c r="A152" s="38"/>
      <c r="B152" s="30" t="s">
        <v>103</v>
      </c>
      <c r="C152" s="31">
        <v>4</v>
      </c>
      <c r="D152" s="31">
        <v>13</v>
      </c>
      <c r="E152" s="31">
        <v>1</v>
      </c>
      <c r="F152" s="31"/>
      <c r="G152" s="43" t="s">
        <v>213</v>
      </c>
      <c r="H152" s="40">
        <v>45831</v>
      </c>
      <c r="I152" s="43" t="s">
        <v>213</v>
      </c>
      <c r="J152" s="40">
        <v>45831</v>
      </c>
    </row>
    <row r="153" spans="1:10">
      <c r="A153" s="38"/>
      <c r="B153" s="30" t="s">
        <v>103</v>
      </c>
      <c r="C153" s="31">
        <v>4</v>
      </c>
      <c r="D153" s="31">
        <v>14</v>
      </c>
      <c r="E153" s="31">
        <v>1</v>
      </c>
      <c r="F153" s="31"/>
      <c r="G153" s="43" t="s">
        <v>213</v>
      </c>
      <c r="H153" s="40">
        <v>45831</v>
      </c>
      <c r="I153" s="43" t="s">
        <v>213</v>
      </c>
      <c r="J153" s="40">
        <v>45831</v>
      </c>
    </row>
    <row r="154" spans="1:10">
      <c r="A154" s="38"/>
      <c r="B154" s="30" t="s">
        <v>103</v>
      </c>
      <c r="C154" s="31">
        <v>4</v>
      </c>
      <c r="D154" s="31">
        <v>15</v>
      </c>
      <c r="E154" s="31">
        <v>1</v>
      </c>
      <c r="F154" s="31"/>
      <c r="G154" s="43" t="s">
        <v>213</v>
      </c>
      <c r="H154" s="40">
        <v>45831</v>
      </c>
      <c r="I154" s="43" t="s">
        <v>213</v>
      </c>
      <c r="J154" s="40">
        <v>45831</v>
      </c>
    </row>
    <row r="155" spans="1:10">
      <c r="A155" s="38"/>
      <c r="B155" s="30" t="s">
        <v>103</v>
      </c>
      <c r="C155" s="31">
        <v>4</v>
      </c>
      <c r="D155" s="31">
        <v>16</v>
      </c>
      <c r="E155" s="31">
        <v>1</v>
      </c>
      <c r="F155" s="31"/>
      <c r="G155" s="43" t="s">
        <v>213</v>
      </c>
      <c r="H155" s="40">
        <v>45831</v>
      </c>
      <c r="I155" s="43" t="s">
        <v>213</v>
      </c>
      <c r="J155" s="40">
        <v>45831</v>
      </c>
    </row>
    <row r="156" spans="1:10">
      <c r="A156" s="38"/>
      <c r="B156" s="30" t="s">
        <v>103</v>
      </c>
      <c r="C156" s="31">
        <v>4</v>
      </c>
      <c r="D156" s="31">
        <v>17</v>
      </c>
      <c r="E156" s="31">
        <v>1</v>
      </c>
      <c r="F156" s="31"/>
      <c r="G156" s="43" t="s">
        <v>213</v>
      </c>
      <c r="H156" s="40">
        <v>45831</v>
      </c>
      <c r="I156" s="43" t="s">
        <v>213</v>
      </c>
      <c r="J156" s="40">
        <v>45831</v>
      </c>
    </row>
    <row r="157" spans="1:10">
      <c r="A157" s="38"/>
      <c r="B157" s="30" t="s">
        <v>103</v>
      </c>
      <c r="C157" s="31">
        <v>4</v>
      </c>
      <c r="D157" s="31">
        <v>18</v>
      </c>
      <c r="E157" s="31">
        <v>1</v>
      </c>
      <c r="F157" s="31"/>
      <c r="G157" s="43" t="s">
        <v>213</v>
      </c>
      <c r="H157" s="40">
        <v>45831</v>
      </c>
      <c r="I157" s="43" t="s">
        <v>213</v>
      </c>
      <c r="J157" s="40">
        <v>45831</v>
      </c>
    </row>
    <row r="158" spans="1:10">
      <c r="A158" s="38"/>
      <c r="B158" s="30" t="s">
        <v>103</v>
      </c>
      <c r="C158" s="31">
        <v>4</v>
      </c>
      <c r="D158" s="31">
        <v>19</v>
      </c>
      <c r="E158" s="31">
        <v>1</v>
      </c>
      <c r="F158" s="31"/>
      <c r="G158" s="43" t="s">
        <v>213</v>
      </c>
      <c r="H158" s="40">
        <v>45831</v>
      </c>
      <c r="I158" s="43" t="s">
        <v>213</v>
      </c>
      <c r="J158" s="40">
        <v>45831</v>
      </c>
    </row>
    <row r="159" spans="1:10">
      <c r="A159" s="38"/>
      <c r="B159" s="30" t="s">
        <v>103</v>
      </c>
      <c r="C159" s="31">
        <v>4</v>
      </c>
      <c r="D159" s="31">
        <v>20</v>
      </c>
      <c r="E159" s="31">
        <v>1</v>
      </c>
      <c r="F159" s="31"/>
      <c r="G159" s="43" t="s">
        <v>213</v>
      </c>
      <c r="H159" s="40">
        <v>45831</v>
      </c>
      <c r="I159" s="43" t="s">
        <v>213</v>
      </c>
      <c r="J159" s="40">
        <v>45831</v>
      </c>
    </row>
    <row r="160" spans="1:10">
      <c r="A160" s="38"/>
      <c r="B160" s="30" t="s">
        <v>103</v>
      </c>
      <c r="C160" s="31">
        <v>4</v>
      </c>
      <c r="D160" s="31">
        <v>21</v>
      </c>
      <c r="E160" s="31">
        <v>1</v>
      </c>
      <c r="F160" s="31"/>
      <c r="G160" s="43" t="s">
        <v>213</v>
      </c>
      <c r="H160" s="40">
        <v>45831</v>
      </c>
      <c r="I160" s="43" t="s">
        <v>213</v>
      </c>
      <c r="J160" s="40">
        <v>45831</v>
      </c>
    </row>
    <row r="161" spans="1:10">
      <c r="A161" s="38"/>
      <c r="B161" s="30" t="s">
        <v>103</v>
      </c>
      <c r="C161" s="31">
        <v>4</v>
      </c>
      <c r="D161" s="31">
        <v>22</v>
      </c>
      <c r="E161" s="31">
        <v>1</v>
      </c>
      <c r="F161" s="31"/>
      <c r="G161" s="43" t="s">
        <v>213</v>
      </c>
      <c r="H161" s="40">
        <v>45831</v>
      </c>
      <c r="I161" s="43" t="s">
        <v>213</v>
      </c>
      <c r="J161" s="40">
        <v>45831</v>
      </c>
    </row>
    <row r="162" spans="1:10">
      <c r="A162" s="38"/>
      <c r="B162" s="30" t="s">
        <v>103</v>
      </c>
      <c r="C162" s="31">
        <v>4</v>
      </c>
      <c r="D162" s="31">
        <v>23</v>
      </c>
      <c r="E162" s="31">
        <v>1</v>
      </c>
      <c r="F162" s="31"/>
      <c r="G162" s="43" t="s">
        <v>213</v>
      </c>
      <c r="H162" s="40">
        <v>45831</v>
      </c>
      <c r="I162" s="43" t="s">
        <v>213</v>
      </c>
      <c r="J162" s="40">
        <v>45831</v>
      </c>
    </row>
    <row r="163" spans="1:10">
      <c r="A163" s="38"/>
      <c r="B163" s="30" t="s">
        <v>103</v>
      </c>
      <c r="C163" s="31">
        <v>4</v>
      </c>
      <c r="D163" s="31">
        <v>24</v>
      </c>
      <c r="E163" s="31">
        <v>1</v>
      </c>
      <c r="F163" s="31"/>
      <c r="G163" s="43" t="s">
        <v>213</v>
      </c>
      <c r="H163" s="40">
        <v>45831</v>
      </c>
      <c r="I163" s="43" t="s">
        <v>213</v>
      </c>
      <c r="J163" s="40">
        <v>45831</v>
      </c>
    </row>
    <row r="164" spans="1:10">
      <c r="A164" s="38"/>
      <c r="B164" s="30" t="s">
        <v>103</v>
      </c>
      <c r="C164" s="31">
        <v>4</v>
      </c>
      <c r="D164" s="31">
        <v>25</v>
      </c>
      <c r="E164" s="31">
        <v>1</v>
      </c>
      <c r="F164" s="31"/>
      <c r="G164" s="43" t="s">
        <v>213</v>
      </c>
      <c r="H164" s="40">
        <v>45831</v>
      </c>
      <c r="I164" s="43" t="s">
        <v>213</v>
      </c>
      <c r="J164" s="40">
        <v>45831</v>
      </c>
    </row>
    <row r="165" spans="1:10">
      <c r="A165" s="38"/>
      <c r="B165" s="30" t="s">
        <v>103</v>
      </c>
      <c r="C165" s="31">
        <v>4</v>
      </c>
      <c r="D165" s="31">
        <v>26</v>
      </c>
      <c r="E165" s="31">
        <v>1</v>
      </c>
      <c r="F165" s="31"/>
      <c r="G165" s="43" t="s">
        <v>213</v>
      </c>
      <c r="H165" s="40">
        <v>45831</v>
      </c>
      <c r="I165" s="43" t="s">
        <v>213</v>
      </c>
      <c r="J165" s="40">
        <v>45831</v>
      </c>
    </row>
    <row r="166" spans="1:10">
      <c r="A166" s="38"/>
      <c r="B166" s="30" t="s">
        <v>103</v>
      </c>
      <c r="C166" s="31">
        <v>4</v>
      </c>
      <c r="D166" s="31">
        <v>27</v>
      </c>
      <c r="E166" s="31">
        <v>1</v>
      </c>
      <c r="F166" s="31"/>
      <c r="G166" s="43" t="s">
        <v>213</v>
      </c>
      <c r="H166" s="40">
        <v>45831</v>
      </c>
      <c r="I166" s="43" t="s">
        <v>213</v>
      </c>
      <c r="J166" s="40">
        <v>45831</v>
      </c>
    </row>
    <row r="167" spans="1:10">
      <c r="A167" s="38"/>
      <c r="B167" s="30" t="s">
        <v>103</v>
      </c>
      <c r="C167" s="31">
        <v>4</v>
      </c>
      <c r="D167" s="31">
        <v>28</v>
      </c>
      <c r="E167" s="31">
        <v>1</v>
      </c>
      <c r="F167" s="31"/>
      <c r="G167" s="43" t="s">
        <v>213</v>
      </c>
      <c r="H167" s="40">
        <v>45831</v>
      </c>
      <c r="I167" s="43" t="s">
        <v>213</v>
      </c>
      <c r="J167" s="40">
        <v>45831</v>
      </c>
    </row>
    <row r="168" spans="1:10">
      <c r="A168" s="38"/>
      <c r="B168" s="30" t="s">
        <v>103</v>
      </c>
      <c r="C168" s="31">
        <v>4</v>
      </c>
      <c r="D168" s="31">
        <v>29</v>
      </c>
      <c r="E168" s="31">
        <v>1</v>
      </c>
      <c r="F168" s="31"/>
      <c r="G168" s="43" t="s">
        <v>213</v>
      </c>
      <c r="H168" s="40">
        <v>45831</v>
      </c>
      <c r="I168" s="43" t="s">
        <v>213</v>
      </c>
      <c r="J168" s="40">
        <v>45831</v>
      </c>
    </row>
    <row r="169" spans="1:10">
      <c r="A169" s="38"/>
      <c r="B169" s="30" t="s">
        <v>103</v>
      </c>
      <c r="C169" s="31">
        <v>4</v>
      </c>
      <c r="D169" s="31">
        <v>30</v>
      </c>
      <c r="E169" s="31">
        <v>1</v>
      </c>
      <c r="F169" s="31"/>
      <c r="G169" s="43" t="s">
        <v>213</v>
      </c>
      <c r="H169" s="40">
        <v>45831</v>
      </c>
      <c r="I169" s="43" t="s">
        <v>213</v>
      </c>
      <c r="J169" s="40">
        <v>45831</v>
      </c>
    </row>
    <row r="170" spans="1:10">
      <c r="A170" s="38"/>
      <c r="B170" s="30" t="s">
        <v>103</v>
      </c>
      <c r="C170" s="31">
        <v>4</v>
      </c>
      <c r="D170" s="31">
        <v>31</v>
      </c>
      <c r="E170" s="31">
        <v>1</v>
      </c>
      <c r="F170" s="31"/>
      <c r="G170" s="43" t="s">
        <v>213</v>
      </c>
      <c r="H170" s="40">
        <v>45831</v>
      </c>
      <c r="I170" s="43" t="s">
        <v>213</v>
      </c>
      <c r="J170" s="40">
        <v>45831</v>
      </c>
    </row>
    <row r="171" spans="1:10">
      <c r="A171" s="38"/>
      <c r="B171" s="30" t="s">
        <v>103</v>
      </c>
      <c r="C171" s="31">
        <v>4</v>
      </c>
      <c r="D171" s="31">
        <v>32</v>
      </c>
      <c r="E171" s="31">
        <v>1</v>
      </c>
      <c r="F171" s="31"/>
      <c r="G171" s="43" t="s">
        <v>213</v>
      </c>
      <c r="H171" s="40">
        <v>45831</v>
      </c>
      <c r="I171" s="43" t="s">
        <v>213</v>
      </c>
      <c r="J171" s="40">
        <v>45831</v>
      </c>
    </row>
    <row r="172" spans="1:10">
      <c r="A172" s="38"/>
      <c r="B172" s="30" t="s">
        <v>103</v>
      </c>
      <c r="C172" s="31">
        <v>4</v>
      </c>
      <c r="D172" s="31">
        <v>33</v>
      </c>
      <c r="E172" s="31">
        <v>1</v>
      </c>
      <c r="F172" s="31"/>
      <c r="G172" s="43" t="s">
        <v>213</v>
      </c>
      <c r="H172" s="40">
        <v>45831</v>
      </c>
      <c r="I172" s="43" t="s">
        <v>213</v>
      </c>
      <c r="J172" s="40">
        <v>45831</v>
      </c>
    </row>
    <row r="173" spans="1:10">
      <c r="A173" s="38"/>
      <c r="B173" s="30" t="s">
        <v>103</v>
      </c>
      <c r="C173" s="31">
        <v>4</v>
      </c>
      <c r="D173" s="31">
        <v>34</v>
      </c>
      <c r="E173" s="31">
        <v>1</v>
      </c>
      <c r="F173" s="31"/>
      <c r="G173" s="43" t="s">
        <v>213</v>
      </c>
      <c r="H173" s="40">
        <v>45831</v>
      </c>
      <c r="I173" s="43" t="s">
        <v>213</v>
      </c>
      <c r="J173" s="40">
        <v>45831</v>
      </c>
    </row>
    <row r="174" spans="1:10">
      <c r="A174" s="38"/>
      <c r="B174" s="30" t="s">
        <v>103</v>
      </c>
      <c r="C174" s="31">
        <v>4</v>
      </c>
      <c r="D174" s="31">
        <v>35</v>
      </c>
      <c r="E174" s="31">
        <v>1</v>
      </c>
      <c r="F174" s="31"/>
      <c r="G174" s="43" t="s">
        <v>213</v>
      </c>
      <c r="H174" s="40">
        <v>45831</v>
      </c>
      <c r="I174" s="43" t="s">
        <v>213</v>
      </c>
      <c r="J174" s="40">
        <v>45831</v>
      </c>
    </row>
    <row r="175" spans="1:10">
      <c r="A175" s="38"/>
      <c r="B175" s="30" t="s">
        <v>103</v>
      </c>
      <c r="C175" s="31">
        <v>4</v>
      </c>
      <c r="D175" s="31">
        <v>36</v>
      </c>
      <c r="E175" s="31">
        <v>1</v>
      </c>
      <c r="F175" s="31"/>
      <c r="G175" s="43" t="s">
        <v>213</v>
      </c>
      <c r="H175" s="40">
        <v>45831</v>
      </c>
      <c r="I175" s="43" t="s">
        <v>213</v>
      </c>
      <c r="J175" s="40">
        <v>45831</v>
      </c>
    </row>
    <row r="176" spans="1:10">
      <c r="A176" s="38"/>
      <c r="B176" s="30" t="s">
        <v>103</v>
      </c>
      <c r="C176" s="31">
        <v>4</v>
      </c>
      <c r="D176" s="31">
        <v>37</v>
      </c>
      <c r="E176" s="31">
        <v>1</v>
      </c>
      <c r="F176" s="31"/>
      <c r="G176" s="43" t="s">
        <v>213</v>
      </c>
      <c r="H176" s="40">
        <v>45831</v>
      </c>
      <c r="I176" s="43" t="s">
        <v>213</v>
      </c>
      <c r="J176" s="40">
        <v>45831</v>
      </c>
    </row>
    <row r="177" spans="1:10">
      <c r="A177" s="38"/>
      <c r="B177" s="30" t="s">
        <v>103</v>
      </c>
      <c r="C177" s="31">
        <v>4</v>
      </c>
      <c r="D177" s="31">
        <v>38</v>
      </c>
      <c r="E177" s="31">
        <v>1</v>
      </c>
      <c r="F177" s="31"/>
      <c r="G177" s="43" t="s">
        <v>213</v>
      </c>
      <c r="H177" s="40">
        <v>45831</v>
      </c>
      <c r="I177" s="43" t="s">
        <v>213</v>
      </c>
      <c r="J177" s="40">
        <v>45831</v>
      </c>
    </row>
    <row r="178" spans="1:10">
      <c r="A178" s="38"/>
      <c r="B178" s="30" t="s">
        <v>103</v>
      </c>
      <c r="C178" s="31">
        <v>4</v>
      </c>
      <c r="D178" s="31">
        <v>39</v>
      </c>
      <c r="E178" s="31">
        <v>1</v>
      </c>
      <c r="F178" s="31"/>
      <c r="G178" s="43" t="s">
        <v>213</v>
      </c>
      <c r="H178" s="40">
        <v>45831</v>
      </c>
      <c r="I178" s="43" t="s">
        <v>213</v>
      </c>
      <c r="J178" s="40">
        <v>45831</v>
      </c>
    </row>
    <row r="179" spans="1:10">
      <c r="A179" s="38"/>
      <c r="B179" s="30" t="s">
        <v>103</v>
      </c>
      <c r="C179" s="31">
        <v>4</v>
      </c>
      <c r="D179" s="31">
        <v>40</v>
      </c>
      <c r="E179" s="31">
        <v>1</v>
      </c>
      <c r="F179" s="31"/>
      <c r="G179" s="43" t="s">
        <v>213</v>
      </c>
      <c r="H179" s="40">
        <v>45831</v>
      </c>
      <c r="I179" s="43" t="s">
        <v>213</v>
      </c>
      <c r="J179" s="40">
        <v>45831</v>
      </c>
    </row>
    <row r="180" spans="1:10">
      <c r="A180" s="38"/>
      <c r="B180" s="30" t="s">
        <v>103</v>
      </c>
      <c r="C180" s="31">
        <v>4</v>
      </c>
      <c r="D180" s="31">
        <v>41</v>
      </c>
      <c r="E180" s="31">
        <v>1</v>
      </c>
      <c r="F180" s="31"/>
      <c r="G180" s="43" t="s">
        <v>213</v>
      </c>
      <c r="H180" s="40">
        <v>45831</v>
      </c>
      <c r="I180" s="43" t="s">
        <v>213</v>
      </c>
      <c r="J180" s="40">
        <v>45831</v>
      </c>
    </row>
    <row r="181" spans="1:10">
      <c r="A181" s="38"/>
      <c r="B181" s="30" t="s">
        <v>103</v>
      </c>
      <c r="C181" s="31">
        <v>4</v>
      </c>
      <c r="D181" s="31">
        <v>42</v>
      </c>
      <c r="E181" s="31">
        <v>1</v>
      </c>
      <c r="F181" s="31"/>
      <c r="G181" s="43" t="s">
        <v>213</v>
      </c>
      <c r="H181" s="40">
        <v>45831</v>
      </c>
      <c r="I181" s="43" t="s">
        <v>213</v>
      </c>
      <c r="J181" s="40">
        <v>45831</v>
      </c>
    </row>
    <row r="182" spans="1:10">
      <c r="A182" s="38"/>
      <c r="B182" s="30" t="s">
        <v>103</v>
      </c>
      <c r="C182" s="31">
        <v>4</v>
      </c>
      <c r="D182" s="31">
        <v>43</v>
      </c>
      <c r="E182" s="31">
        <v>1</v>
      </c>
      <c r="F182" s="31"/>
      <c r="G182" s="43" t="s">
        <v>213</v>
      </c>
      <c r="H182" s="40">
        <v>45831</v>
      </c>
      <c r="I182" s="43" t="s">
        <v>213</v>
      </c>
      <c r="J182" s="40">
        <v>45831</v>
      </c>
    </row>
  </sheetData>
  <phoneticPr fontId="5"/>
  <hyperlinks>
    <hyperlink ref="G11" r:id="rId1" xr:uid="{3431BB61-11EF-4995-BCB7-6C46F80EA9AC}"/>
    <hyperlink ref="I11" r:id="rId2" xr:uid="{F411E06A-ADE3-4207-9496-8ADDF05F2F6B}"/>
    <hyperlink ref="G12" r:id="rId3" xr:uid="{8F1488C5-B321-4F61-894D-1BF1A8D9964C}"/>
    <hyperlink ref="I12" r:id="rId4" xr:uid="{16CE2D30-0CA8-4C8C-ACF3-CF88D3811E8E}"/>
    <hyperlink ref="G13" r:id="rId5" xr:uid="{C4099E2E-A7BE-49AB-BBBF-65F3657AB779}"/>
    <hyperlink ref="G14" r:id="rId6" xr:uid="{7EB30D1F-CF43-4242-AFDA-EFB1BE20D165}"/>
    <hyperlink ref="G15" r:id="rId7" xr:uid="{327EB8A8-AC34-423B-ABBF-F0F228D4AA63}"/>
    <hyperlink ref="G16" r:id="rId8" xr:uid="{6EA4A65E-FAB7-4ADD-9A68-489619114B88}"/>
    <hyperlink ref="G17" r:id="rId9" xr:uid="{135D7D30-0FFF-4427-B382-E7C55A19B222}"/>
    <hyperlink ref="G18" r:id="rId10" xr:uid="{26C0C45B-EB4A-49C9-8B4F-3B9C94751EB5}"/>
    <hyperlink ref="G19" r:id="rId11" xr:uid="{ADB62ED4-6F52-4C78-B555-6F4CC16D3BB5}"/>
    <hyperlink ref="G20" r:id="rId12" xr:uid="{D795FF57-C6DD-4711-8D06-5EF8CBF6016F}"/>
    <hyperlink ref="G21" r:id="rId13" xr:uid="{C3BA2DA2-B3B4-4F85-AFCB-9B6E09A65E32}"/>
    <hyperlink ref="G22" r:id="rId14" xr:uid="{F260AA90-46EF-4E47-83D3-7624B7C3B0DC}"/>
    <hyperlink ref="G23" r:id="rId15" xr:uid="{63DDFFC2-0293-4730-83A9-E83E2941E7AF}"/>
    <hyperlink ref="G24" r:id="rId16" xr:uid="{F55F83CB-039B-492B-B560-DBBC26677070}"/>
    <hyperlink ref="G25" r:id="rId17" xr:uid="{5C255883-A3AB-4EBF-AC31-9684AD5FA71C}"/>
    <hyperlink ref="G26" r:id="rId18" xr:uid="{ABBC53F5-1AA2-4D8D-8B90-94FB5AD40902}"/>
    <hyperlink ref="G27" r:id="rId19" xr:uid="{76C8FD75-9297-4470-9B7E-8F1F94CF2DE9}"/>
    <hyperlink ref="G28" r:id="rId20" xr:uid="{4FA65F88-42D4-480D-990E-5BDA1F129D20}"/>
    <hyperlink ref="G29" r:id="rId21" xr:uid="{38ECC5D9-D488-4828-97BD-8B7FFA8933A8}"/>
    <hyperlink ref="G30" r:id="rId22" xr:uid="{CA5DAD28-C22E-49F8-87F3-9962A471B04C}"/>
    <hyperlink ref="G31" r:id="rId23" xr:uid="{09067968-3162-421D-9654-639F20B5AE65}"/>
    <hyperlink ref="G32" r:id="rId24" xr:uid="{F451A283-40E0-4206-A206-97DEACD835F9}"/>
    <hyperlink ref="G33" r:id="rId25" xr:uid="{6D737C3F-E157-41DA-8664-35013A70CE7E}"/>
    <hyperlink ref="G34" r:id="rId26" xr:uid="{860367A5-951B-4088-8209-FB956A0C6A72}"/>
    <hyperlink ref="G35" r:id="rId27" xr:uid="{D42B8DF7-1EBF-4665-B997-F966BF5C5D9E}"/>
    <hyperlink ref="G36" r:id="rId28" xr:uid="{448F3456-E34D-4423-8F30-507B812A0ABC}"/>
    <hyperlink ref="G37" r:id="rId29" xr:uid="{36C47E94-201F-445C-874D-A4797FE70069}"/>
    <hyperlink ref="G38" r:id="rId30" xr:uid="{A5A97FD3-C915-4937-BBD9-5F5E7627D2B8}"/>
    <hyperlink ref="G39" r:id="rId31" xr:uid="{03FD1F7A-5BD0-4E55-A073-BBE6F4A26405}"/>
    <hyperlink ref="G40" r:id="rId32" xr:uid="{E201925D-4428-4DDA-81B8-ABA9DF7381BA}"/>
    <hyperlink ref="G41" r:id="rId33" xr:uid="{C7783B99-092A-43A5-9582-D292BD146ACE}"/>
    <hyperlink ref="G42" r:id="rId34" xr:uid="{CF283090-87A0-4920-9F8B-0DBA459A1E1E}"/>
    <hyperlink ref="G43" r:id="rId35" xr:uid="{AC1F00CC-F3BF-424A-A450-FB64831794A0}"/>
    <hyperlink ref="G44" r:id="rId36" xr:uid="{3C1D85FA-F59F-4261-9196-D7C018309322}"/>
    <hyperlink ref="G45" r:id="rId37" xr:uid="{75765787-4925-44F7-9AC2-428E59042664}"/>
    <hyperlink ref="G46" r:id="rId38" xr:uid="{3293BCEB-E8D7-4DCA-8016-47D467A9C4F9}"/>
    <hyperlink ref="G47" r:id="rId39" xr:uid="{59FAB00A-1582-4657-953E-A72F12DC3099}"/>
    <hyperlink ref="G48" r:id="rId40" xr:uid="{ED13362B-7A7D-4211-87ED-D72519D6F63E}"/>
    <hyperlink ref="G49" r:id="rId41" xr:uid="{0A5F6BF6-469C-4E1F-A1A2-838D469B5E21}"/>
    <hyperlink ref="G50" r:id="rId42" xr:uid="{435068F8-579B-4200-8794-9FC45352D5AB}"/>
    <hyperlink ref="G51" r:id="rId43" xr:uid="{1D8C00BE-9E03-4DC3-83FA-B3CC5BD0AF9E}"/>
    <hyperlink ref="G52" r:id="rId44" xr:uid="{6FB7FE45-5D1B-4757-9114-AD7F14BFADF3}"/>
    <hyperlink ref="G53" r:id="rId45" xr:uid="{CD280520-565F-46B5-9C63-2BD4AABA6D77}"/>
    <hyperlink ref="G54" r:id="rId46" xr:uid="{6249D3CF-D858-415E-8E56-867968363F31}"/>
    <hyperlink ref="G55" r:id="rId47" xr:uid="{35343E49-4E94-4B64-B904-D8FE266AC07E}"/>
    <hyperlink ref="G56" r:id="rId48" xr:uid="{DF0FCBC4-94D6-4F8E-8527-88BAD12C96A5}"/>
    <hyperlink ref="G57" r:id="rId49" xr:uid="{D7C8347A-CADB-44AE-8A2B-6B45DA334D17}"/>
    <hyperlink ref="G58" r:id="rId50" xr:uid="{8250C4DD-B7F4-45CA-ACA4-092AF72F9AE4}"/>
    <hyperlink ref="G59" r:id="rId51" xr:uid="{C7E24EF9-3B9A-40A1-A916-8DE84E84F7F9}"/>
    <hyperlink ref="G60" r:id="rId52" xr:uid="{DF76F87F-B847-4FCB-97A4-48DD7C40C59F}"/>
    <hyperlink ref="G61" r:id="rId53" xr:uid="{E8C65236-B0C6-4D78-9F0D-4762FF0D1B23}"/>
    <hyperlink ref="G62" r:id="rId54" xr:uid="{C6277436-FD32-4B6B-AA83-47D186668421}"/>
    <hyperlink ref="G63" r:id="rId55" xr:uid="{B61B5FD7-3EF0-4165-B6DB-3932C0E1D0FA}"/>
    <hyperlink ref="G64" r:id="rId56" xr:uid="{23398A25-30DC-4C7D-8D11-240560AD049A}"/>
    <hyperlink ref="G65" r:id="rId57" xr:uid="{DCDF722E-2203-4E3E-A23A-55FF19CB3913}"/>
    <hyperlink ref="G66" r:id="rId58" xr:uid="{91B35320-3B16-46B7-91AF-0C0968BA5143}"/>
    <hyperlink ref="G67" r:id="rId59" xr:uid="{97FEBEE8-0829-49CB-B0E6-432D7C4E398F}"/>
    <hyperlink ref="G68" r:id="rId60" xr:uid="{BDF0184C-611F-47EF-8B65-95BA477B6836}"/>
    <hyperlink ref="G69" r:id="rId61" xr:uid="{6085BDB7-934F-498B-A9E9-2E2EB356C54B}"/>
    <hyperlink ref="G70" r:id="rId62" xr:uid="{7746FC57-0E87-4921-BF65-7C17EC90BF17}"/>
    <hyperlink ref="G71" r:id="rId63" xr:uid="{9090DFAE-9EFC-497D-A9FB-74197B897A23}"/>
    <hyperlink ref="G72" r:id="rId64" xr:uid="{D3546AE5-0C83-488E-A6A6-9E79556D2C83}"/>
    <hyperlink ref="G73" r:id="rId65" xr:uid="{DF70A7AC-AA62-435D-8C89-88DE69ADCEBA}"/>
    <hyperlink ref="G74" r:id="rId66" xr:uid="{2EFDDBEF-CBD4-4140-981A-5727570C61BF}"/>
    <hyperlink ref="G75" r:id="rId67" xr:uid="{0C3CF101-46E2-4D9D-9CA1-A8C75AE626B5}"/>
    <hyperlink ref="G76" r:id="rId68" xr:uid="{8123460B-F9BC-4AB6-BB9B-F3667674A095}"/>
    <hyperlink ref="G77" r:id="rId69" xr:uid="{5B75F918-1CEC-4A82-A8E0-FF23E4AB6F14}"/>
    <hyperlink ref="G78" r:id="rId70" xr:uid="{4EDD8ECD-9255-4C72-8CB5-053B77B0EAA6}"/>
    <hyperlink ref="G79" r:id="rId71" xr:uid="{62C4A96B-81F3-465E-AEBA-F244C03BDB3A}"/>
    <hyperlink ref="G80" r:id="rId72" xr:uid="{A28BCD30-AF42-4338-9122-1E4D07185F6A}"/>
    <hyperlink ref="G81" r:id="rId73" xr:uid="{EE4DF625-CF69-4A54-81FD-00C8808010F0}"/>
    <hyperlink ref="G82" r:id="rId74" xr:uid="{449AE2B5-49E1-48E8-85DE-B0CEB7B873A9}"/>
    <hyperlink ref="G83" r:id="rId75" xr:uid="{D578FAAC-B165-492E-8F98-78E92AE18A62}"/>
    <hyperlink ref="G84" r:id="rId76" xr:uid="{5708D7AF-DC44-4442-B10E-422E7289379A}"/>
    <hyperlink ref="G85" r:id="rId77" xr:uid="{05384415-6A0A-4BA0-AFE5-AB1EF0213CBB}"/>
    <hyperlink ref="G86" r:id="rId78" xr:uid="{F48498C2-2B30-4682-A31B-A7139D8362BB}"/>
    <hyperlink ref="G87" r:id="rId79" xr:uid="{7B5B5AE9-B650-4E5F-8518-3A1C55F1C50B}"/>
    <hyperlink ref="G88" r:id="rId80" xr:uid="{7D80D4B4-AAC4-4DE4-909F-B2DE77E9BCA8}"/>
    <hyperlink ref="G89" r:id="rId81" xr:uid="{D5F444BF-8B7E-4C49-8A3E-5C5BB164E3FC}"/>
    <hyperlink ref="G90" r:id="rId82" xr:uid="{F146620E-CB7E-424F-B917-362C2CD23319}"/>
    <hyperlink ref="G91" r:id="rId83" xr:uid="{3B6A15C0-6FE1-4A0D-82F2-69E2E6E4B0F4}"/>
    <hyperlink ref="G92" r:id="rId84" xr:uid="{8B450612-ADB7-4AED-B76E-F4C9477EDA15}"/>
    <hyperlink ref="G93" r:id="rId85" xr:uid="{1715A1A7-A950-414D-BBC7-E427A1D68462}"/>
    <hyperlink ref="G94" r:id="rId86" xr:uid="{028F4CFA-0953-4659-A762-93B474835EDD}"/>
    <hyperlink ref="G95" r:id="rId87" xr:uid="{C1B3B76F-C02D-458F-B518-2A549BA946D1}"/>
    <hyperlink ref="G96" r:id="rId88" xr:uid="{8C04C78E-57DD-48EE-B39A-464D75A8794C}"/>
    <hyperlink ref="G97" r:id="rId89" xr:uid="{F3B66237-CD23-46D9-BCF3-A824B41EFCA7}"/>
    <hyperlink ref="G98" r:id="rId90" xr:uid="{32AE2EB5-8B63-4A57-A72E-2F70A8AAE2EC}"/>
    <hyperlink ref="G99" r:id="rId91" xr:uid="{9DBE7FC6-7FF0-43BF-AA59-44CCDE8969B4}"/>
    <hyperlink ref="G100" r:id="rId92" xr:uid="{093ED459-4D46-4335-B29A-5F22CF9598F9}"/>
    <hyperlink ref="G101" r:id="rId93" xr:uid="{D1091281-7EC0-476C-829E-825DAB46211F}"/>
    <hyperlink ref="G102" r:id="rId94" xr:uid="{207A422D-0E9A-49AA-84B4-A890DDF8DD7E}"/>
    <hyperlink ref="G103" r:id="rId95" xr:uid="{E75495A9-CEF7-4177-9D44-4F19A39529E8}"/>
    <hyperlink ref="G104" r:id="rId96" xr:uid="{E9ACC240-B13D-4005-9CE6-4D7BEBDCF63B}"/>
    <hyperlink ref="G105" r:id="rId97" xr:uid="{3FA7E0A1-50DF-4371-BFCD-F5164930BF22}"/>
    <hyperlink ref="G106" r:id="rId98" xr:uid="{CC3EB318-107B-4DA3-AB68-4CB2A41531F4}"/>
    <hyperlink ref="G107" r:id="rId99" xr:uid="{EDA47795-C058-4643-8419-9387629AEBF0}"/>
    <hyperlink ref="G108" r:id="rId100" xr:uid="{BFD55FDC-1648-4B22-B7FE-823D5B3B23BC}"/>
    <hyperlink ref="G109" r:id="rId101" xr:uid="{615CBBB2-D536-42E3-A754-BA6984DF6E85}"/>
    <hyperlink ref="G110" r:id="rId102" xr:uid="{C1DB052E-59AB-47DE-B037-D221C8216E9F}"/>
    <hyperlink ref="G111" r:id="rId103" xr:uid="{5F7316CD-BB52-4C0B-97FC-99360DDB862E}"/>
    <hyperlink ref="G112" r:id="rId104" xr:uid="{F5CD2F5C-87FD-45A1-BCC6-B2A53C8E3241}"/>
    <hyperlink ref="G113" r:id="rId105" xr:uid="{57B32660-962A-4D6C-A1C0-915FDC04F4C7}"/>
    <hyperlink ref="G114" r:id="rId106" xr:uid="{24A8E871-2440-43DC-922A-125CB55B44FD}"/>
    <hyperlink ref="G115" r:id="rId107" xr:uid="{D3A15C37-FCE6-4DAA-BEDB-55E9691B9270}"/>
    <hyperlink ref="G116" r:id="rId108" xr:uid="{0818EC16-2ABD-4513-A5D3-BFA123EED633}"/>
    <hyperlink ref="G117" r:id="rId109" xr:uid="{9AB273AE-FD21-48E6-B992-4BC0144C94DA}"/>
    <hyperlink ref="G118" r:id="rId110" xr:uid="{20E4A97D-A6DE-465F-8AE6-2DF9AA268384}"/>
    <hyperlink ref="G119" r:id="rId111" xr:uid="{D8C6A34E-8434-448D-BD31-CA60997B4926}"/>
    <hyperlink ref="G120" r:id="rId112" xr:uid="{D2D65CAA-CE11-449E-A72C-88FB48CF66BB}"/>
    <hyperlink ref="G121" r:id="rId113" xr:uid="{F597BE02-44ED-487C-AF4D-55E6EEBB275C}"/>
    <hyperlink ref="G122" r:id="rId114" xr:uid="{D82FC074-E6A5-4898-8B54-AE4C1C3AC582}"/>
    <hyperlink ref="G123" r:id="rId115" xr:uid="{377F8F21-C044-4BBE-9DAE-7EA7DF446618}"/>
    <hyperlink ref="G124" r:id="rId116" xr:uid="{7E27CCD0-872D-4347-B899-8793F03E4FB0}"/>
    <hyperlink ref="G125" r:id="rId117" xr:uid="{71158FB2-34FB-4B76-80F2-EA6CB85C72EE}"/>
    <hyperlink ref="G126" r:id="rId118" xr:uid="{58A9045A-7031-4E3B-83E8-EBED1B11C832}"/>
    <hyperlink ref="G127" r:id="rId119" xr:uid="{6DAA04C8-2FDD-4FA2-A88C-42373120BF8E}"/>
    <hyperlink ref="G128" r:id="rId120" xr:uid="{C5D02C27-9497-485F-88F2-9D334AA71D2F}"/>
    <hyperlink ref="G129" r:id="rId121" xr:uid="{7744E7DD-3676-416D-BD5E-645C1BA50522}"/>
    <hyperlink ref="G130" r:id="rId122" xr:uid="{55201CF0-7294-4907-9220-77A6C0B1C5E0}"/>
    <hyperlink ref="G131" r:id="rId123" xr:uid="{90CFC867-0C65-4B15-8F5F-52B176B0F0CE}"/>
    <hyperlink ref="G132" r:id="rId124" xr:uid="{FF671562-4C68-4946-AA38-DE70BF62D61A}"/>
    <hyperlink ref="G133" r:id="rId125" xr:uid="{98022274-345C-4CE9-8C08-A362F756DC8A}"/>
    <hyperlink ref="G134" r:id="rId126" xr:uid="{C429CA1F-A4DB-49B0-8383-B3CBDB5677F0}"/>
    <hyperlink ref="G135" r:id="rId127" xr:uid="{45DD4741-C8C7-4752-83DF-3F98C9ED3A7F}"/>
    <hyperlink ref="G136" r:id="rId128" xr:uid="{3B5D6AC0-BBAB-475E-996D-BED5B029AC8E}"/>
    <hyperlink ref="G137" r:id="rId129" xr:uid="{B14BD5B9-92D8-40D2-B3F9-5FB964A1917D}"/>
    <hyperlink ref="G138" r:id="rId130" xr:uid="{66396C39-6913-4E8C-AA56-887EE886ACE3}"/>
    <hyperlink ref="G139" r:id="rId131" xr:uid="{8D9411ED-474B-4A80-BA7A-5DFBBE775CA9}"/>
    <hyperlink ref="G140" r:id="rId132" xr:uid="{42750964-6237-43AD-9BC7-0C89688171E9}"/>
    <hyperlink ref="G141" r:id="rId133" xr:uid="{F6A75D89-EE60-4017-8E4F-9E41B7565F50}"/>
    <hyperlink ref="G142" r:id="rId134" xr:uid="{0D0ADA67-95B5-435A-AF75-860CB804437B}"/>
    <hyperlink ref="G143" r:id="rId135" xr:uid="{797C4D4A-7C86-4E9A-8885-BB06A9251DD6}"/>
    <hyperlink ref="G144" r:id="rId136" xr:uid="{48CF7CC9-FEAC-4BDA-9DFD-DCF55054F4BB}"/>
    <hyperlink ref="G145" r:id="rId137" xr:uid="{3459776A-CF27-4CDB-A456-16B024C18606}"/>
    <hyperlink ref="G146" r:id="rId138" xr:uid="{333C3264-9215-43C3-8977-7BAA32334223}"/>
    <hyperlink ref="G147" r:id="rId139" xr:uid="{52720BD8-2363-44DB-92D3-074A9665935A}"/>
    <hyperlink ref="G148" r:id="rId140" xr:uid="{F0A5AA0E-CF73-4152-881B-5BE51ED9E663}"/>
    <hyperlink ref="G149" r:id="rId141" xr:uid="{7F843216-E373-406F-9262-05C4234D13A4}"/>
    <hyperlink ref="G150" r:id="rId142" xr:uid="{64B42FFC-2922-4FB3-A6A7-3A053CBCF832}"/>
    <hyperlink ref="G151" r:id="rId143" xr:uid="{2B519D65-E33B-461D-B246-B758149B5FA6}"/>
    <hyperlink ref="G152" r:id="rId144" xr:uid="{32F1345A-EFEB-495D-A874-2564A317110D}"/>
    <hyperlink ref="G153" r:id="rId145" xr:uid="{AEA8BD04-3616-4DCB-9001-6649E623454F}"/>
    <hyperlink ref="G154" r:id="rId146" xr:uid="{B810CB02-BB69-4DB0-B8AD-55BA57C00764}"/>
    <hyperlink ref="G155" r:id="rId147" xr:uid="{0A9D6060-59A7-47E5-8BBD-76FDD678156E}"/>
    <hyperlink ref="G156" r:id="rId148" xr:uid="{FF3895E2-954F-48BE-924F-984A099F8723}"/>
    <hyperlink ref="G157" r:id="rId149" xr:uid="{FCCD2D97-7AF3-4E84-82A9-D36F8C270FC1}"/>
    <hyperlink ref="G158" r:id="rId150" xr:uid="{E4062FF0-B200-4E6A-9E28-8D96B78E872A}"/>
    <hyperlink ref="G159" r:id="rId151" xr:uid="{4DC36897-0C72-4D65-8192-35708B082A04}"/>
    <hyperlink ref="G160" r:id="rId152" xr:uid="{EB9D98FE-B1B2-4875-9871-26109CE58D02}"/>
    <hyperlink ref="G161" r:id="rId153" xr:uid="{A47E50A9-B5EA-4E2F-AAAD-4D333F9055C4}"/>
    <hyperlink ref="G162" r:id="rId154" xr:uid="{D9063D45-96FA-4BFE-A417-ED9C08D4B7DB}"/>
    <hyperlink ref="G163" r:id="rId155" xr:uid="{A9F14E6E-E54F-4740-853C-13E443B2B5B1}"/>
    <hyperlink ref="G164" r:id="rId156" xr:uid="{9BBB3C99-9BC5-4A01-BA7E-4290600035F2}"/>
    <hyperlink ref="G165" r:id="rId157" xr:uid="{B0599FBA-A09D-4079-A83E-3F2AF8E17D4F}"/>
    <hyperlink ref="G166" r:id="rId158" xr:uid="{12B8D9CF-913C-42C3-B871-302F730A1922}"/>
    <hyperlink ref="G167" r:id="rId159" xr:uid="{1ED7C967-40BC-45D9-BF5C-977F9A207C3D}"/>
    <hyperlink ref="G168" r:id="rId160" xr:uid="{8F8A9224-67F8-4361-BBD5-E7E31A41446E}"/>
    <hyperlink ref="G169" r:id="rId161" xr:uid="{49E36CE1-5268-465D-8347-BA7DC989A67C}"/>
    <hyperlink ref="G170" r:id="rId162" xr:uid="{C750B014-DA7D-4B5C-91B1-B8D4FC29A834}"/>
    <hyperlink ref="G171" r:id="rId163" xr:uid="{5662AEE5-0825-4547-9178-839DA58911AA}"/>
    <hyperlink ref="G172" r:id="rId164" xr:uid="{73D8FFA0-D495-4491-A7BD-8F0FC247EF1B}"/>
    <hyperlink ref="G173" r:id="rId165" xr:uid="{B5564CEF-5052-4202-9DF3-7B39FC136A73}"/>
    <hyperlink ref="G174" r:id="rId166" xr:uid="{B4937F02-AA17-4F92-9128-8861A9FB8A84}"/>
    <hyperlink ref="G175" r:id="rId167" xr:uid="{24AC47B6-5AB2-47CF-97C6-F5C4036363BA}"/>
    <hyperlink ref="G176" r:id="rId168" xr:uid="{4C6F7253-1B75-45A7-86BF-C2986FC9D953}"/>
    <hyperlink ref="G177" r:id="rId169" xr:uid="{D4C025BA-438F-4FF3-B864-82E5B7A0CB43}"/>
    <hyperlink ref="G178" r:id="rId170" xr:uid="{67C4963B-CF59-4DB2-81A9-767959DFC839}"/>
    <hyperlink ref="G179" r:id="rId171" xr:uid="{84ACAB49-3017-4981-B269-D5B765987C4E}"/>
    <hyperlink ref="G180" r:id="rId172" xr:uid="{37DA295D-022A-4D79-B177-A92EDD09BF52}"/>
    <hyperlink ref="G181" r:id="rId173" xr:uid="{6CEDC45A-8614-4C46-8CBE-AC31AF7477D9}"/>
    <hyperlink ref="G182" r:id="rId174" xr:uid="{96807EAC-E82E-48DA-A4F4-23A3E26EB47C}"/>
    <hyperlink ref="I13" r:id="rId175" xr:uid="{2842307F-DD7B-40DC-B60F-DF4513713C85}"/>
    <hyperlink ref="I14" r:id="rId176" xr:uid="{8D7F68F9-6E29-42F7-8827-8170EF5843E4}"/>
    <hyperlink ref="I15" r:id="rId177" xr:uid="{EF598558-30A8-48B0-A9B9-4DCE41A46865}"/>
    <hyperlink ref="I16" r:id="rId178" xr:uid="{8DBA9A81-51CE-48FF-94C7-39F70CE4E7D2}"/>
    <hyperlink ref="I17" r:id="rId179" xr:uid="{FCB22DB9-7647-4CFE-B30E-DC4328D7591D}"/>
    <hyperlink ref="I18" r:id="rId180" xr:uid="{3415E86F-A9E0-4B38-B40C-E26B324B9921}"/>
    <hyperlink ref="I19" r:id="rId181" xr:uid="{4B6BD872-5215-491B-A050-EA50232CA9F5}"/>
    <hyperlink ref="I20" r:id="rId182" xr:uid="{84CD6A8C-5F11-4270-94A4-89395D486792}"/>
    <hyperlink ref="I21" r:id="rId183" xr:uid="{EFD8CB9B-DA41-4390-8F01-8FBE6F16AC2A}"/>
    <hyperlink ref="I22" r:id="rId184" xr:uid="{93025609-7F3D-4D88-BAF6-EAA73D1911F7}"/>
    <hyperlink ref="I23" r:id="rId185" xr:uid="{3956E6D9-F572-4298-9D5A-10585223499A}"/>
    <hyperlink ref="I24" r:id="rId186" xr:uid="{7C52170D-ED5E-4222-8116-AD57099C9589}"/>
    <hyperlink ref="I25" r:id="rId187" xr:uid="{3325722D-C43E-4C0F-AC65-8E3B981B2F64}"/>
    <hyperlink ref="I26" r:id="rId188" xr:uid="{3BBC244A-FB35-441F-8B9E-CF64203BF236}"/>
    <hyperlink ref="I27" r:id="rId189" xr:uid="{5D64F968-7DFF-4776-BE00-81D138245836}"/>
    <hyperlink ref="I28" r:id="rId190" xr:uid="{F6BC0B5E-3475-4555-BEDC-A9B6C53F265D}"/>
    <hyperlink ref="I29" r:id="rId191" xr:uid="{34F5D9EC-FC65-42D3-963D-3692795F6D3B}"/>
    <hyperlink ref="I30" r:id="rId192" xr:uid="{EF267702-D4B3-468E-9C1E-1BE5BF42B14E}"/>
    <hyperlink ref="I31" r:id="rId193" xr:uid="{2B037521-7C06-4E23-810D-39BEB73EBB53}"/>
    <hyperlink ref="I32" r:id="rId194" xr:uid="{68DB8DA0-16D8-4B9A-8BB9-B6015109D333}"/>
    <hyperlink ref="I33" r:id="rId195" xr:uid="{6FC5FCCA-E3B1-4A0F-B24A-A21F78A2880A}"/>
    <hyperlink ref="I34" r:id="rId196" xr:uid="{124059A3-31DF-4350-A79D-27C0948D89F1}"/>
    <hyperlink ref="I35" r:id="rId197" xr:uid="{31689237-95DE-4FC1-8CFA-929466A38708}"/>
    <hyperlink ref="I36" r:id="rId198" xr:uid="{E9775440-F577-4F4E-A996-99F14CD63E1C}"/>
    <hyperlink ref="I37" r:id="rId199" xr:uid="{E48A2964-AC20-4485-8D1E-3A027E1B5D9E}"/>
    <hyperlink ref="I38" r:id="rId200" xr:uid="{6197D84E-6D5A-44BA-B0C1-C5F0F46DA41A}"/>
    <hyperlink ref="I39" r:id="rId201" xr:uid="{ED1744F5-CB4A-46D7-8DA9-D11C9809EF5C}"/>
    <hyperlink ref="I40" r:id="rId202" xr:uid="{31D421B5-EF6D-48EB-9C07-FC7A173B72D0}"/>
    <hyperlink ref="I41" r:id="rId203" xr:uid="{F0E07D6D-23C4-4C8F-BE1B-025F1F3FC039}"/>
    <hyperlink ref="I42" r:id="rId204" xr:uid="{31E784CD-BD66-4785-933B-FAD56E097C58}"/>
    <hyperlink ref="I43" r:id="rId205" xr:uid="{63F17021-F66C-4D03-95B3-56FCE54BA764}"/>
    <hyperlink ref="I44" r:id="rId206" xr:uid="{A998C974-8447-4D3E-8F42-54FC4936DF9D}"/>
    <hyperlink ref="I45" r:id="rId207" xr:uid="{42FFF0CF-4EA2-449E-8E84-DFBE08DA1525}"/>
    <hyperlink ref="I46" r:id="rId208" xr:uid="{F3F27A42-C54D-46AC-8A9A-810EB8A76685}"/>
    <hyperlink ref="I47" r:id="rId209" xr:uid="{483167CE-9198-43A3-84C6-4368763D7083}"/>
    <hyperlink ref="I48" r:id="rId210" xr:uid="{F99717E1-6383-42A0-B177-0867CA0A83E9}"/>
    <hyperlink ref="I49" r:id="rId211" xr:uid="{21459556-8758-4BA0-8E27-6947E501E7B6}"/>
    <hyperlink ref="I50" r:id="rId212" xr:uid="{FE51688B-F3D8-440E-9E5A-7CBF4240D9B3}"/>
    <hyperlink ref="I51" r:id="rId213" xr:uid="{DC25D520-3CA6-4C49-BB18-DC9B8D377967}"/>
    <hyperlink ref="I52" r:id="rId214" xr:uid="{B5AE697B-29F4-4860-839B-05E673C8C07E}"/>
    <hyperlink ref="I53" r:id="rId215" xr:uid="{882F9DDC-F14F-46C9-B2C8-813758CBE7EB}"/>
    <hyperlink ref="I54" r:id="rId216" xr:uid="{4A35D1AC-658B-43B2-A4C1-7B1E7A4CE98E}"/>
    <hyperlink ref="I55" r:id="rId217" xr:uid="{9FD959C3-32B4-4364-BC10-96A9053DC145}"/>
    <hyperlink ref="I56" r:id="rId218" xr:uid="{9E8064DC-0778-42D5-AD2F-C921C8BB7A26}"/>
    <hyperlink ref="I57" r:id="rId219" xr:uid="{2BFECBB3-C833-4A31-9AB3-ED3D222EE515}"/>
    <hyperlink ref="I58" r:id="rId220" xr:uid="{C9B6EAC5-C5D8-48C3-97C3-961D9231165A}"/>
    <hyperlink ref="I59" r:id="rId221" xr:uid="{094042EE-D39F-45FD-A605-359EA4A1455E}"/>
    <hyperlink ref="I60" r:id="rId222" xr:uid="{36EF5F65-485D-4102-9A50-ECFE48A90843}"/>
    <hyperlink ref="I61" r:id="rId223" xr:uid="{2DDBE981-50F8-4DB3-A30B-879BF771F790}"/>
    <hyperlink ref="I62" r:id="rId224" xr:uid="{4C86343A-F40B-44C8-9661-8BF4A64294B6}"/>
    <hyperlink ref="I63" r:id="rId225" xr:uid="{3E5E75E4-5917-4ADE-9790-E8A7063B4E89}"/>
    <hyperlink ref="I64" r:id="rId226" xr:uid="{FE62A870-E256-49AD-9099-37BE323E7BEF}"/>
    <hyperlink ref="I65" r:id="rId227" xr:uid="{6620116A-529F-4D07-B5EE-192C5E0EDD45}"/>
    <hyperlink ref="I66" r:id="rId228" xr:uid="{B4005AC9-CC05-4997-B3E3-B509602352AB}"/>
    <hyperlink ref="I67" r:id="rId229" xr:uid="{1E58EFF9-C666-498A-97F8-BB2BAF175CE3}"/>
    <hyperlink ref="I68" r:id="rId230" xr:uid="{8C98C1D9-34D9-4A86-B1E4-F718B98EB761}"/>
    <hyperlink ref="I69" r:id="rId231" xr:uid="{E9B0C2B6-20B7-4B4D-8D89-DD04D2CE41CF}"/>
    <hyperlink ref="I70" r:id="rId232" xr:uid="{47D5E3E2-8A5D-4562-8BB4-5F7D03C8A9B2}"/>
    <hyperlink ref="I71" r:id="rId233" xr:uid="{5615F270-B743-48B2-AC0F-408CA8705C90}"/>
    <hyperlink ref="I72" r:id="rId234" xr:uid="{940D1081-AB0F-4A6C-A866-A223268E8940}"/>
    <hyperlink ref="I73" r:id="rId235" xr:uid="{9F76E5ED-CE9D-4319-AF65-ED3B5D79ADF5}"/>
    <hyperlink ref="I74" r:id="rId236" xr:uid="{67D6B214-D7D5-4D4D-A6A2-6D9CA0468313}"/>
    <hyperlink ref="I75" r:id="rId237" xr:uid="{8E456BB6-DD4F-43C9-BD41-C74B688E55A8}"/>
    <hyperlink ref="I76" r:id="rId238" xr:uid="{8A13A47A-AFF1-420E-86A9-BF48DA16D3E0}"/>
    <hyperlink ref="I77" r:id="rId239" xr:uid="{E66230C0-4531-470D-BE1C-6AEAB5509D24}"/>
    <hyperlink ref="I78" r:id="rId240" xr:uid="{24973351-7FA4-4904-9785-DC05AC1C8A08}"/>
    <hyperlink ref="I79" r:id="rId241" xr:uid="{7C69183F-BEEE-4E09-AC04-ECC4EFBA352A}"/>
    <hyperlink ref="I80" r:id="rId242" xr:uid="{E682F36A-C4A9-4247-A26B-DA2C0C15552A}"/>
    <hyperlink ref="I81" r:id="rId243" xr:uid="{102A21C7-D96D-46EB-A484-A78B80419908}"/>
    <hyperlink ref="I82" r:id="rId244" xr:uid="{C64611F8-48EE-49A7-8B47-1D2EBA993B6C}"/>
    <hyperlink ref="I83" r:id="rId245" xr:uid="{289E8605-3A8E-4883-A456-EA9B2D07EF35}"/>
    <hyperlink ref="I84" r:id="rId246" xr:uid="{C63EBA3F-410D-4A51-9698-26DEDB35BB31}"/>
    <hyperlink ref="I85" r:id="rId247" xr:uid="{D91B91E3-8C43-4755-A4BF-3055DE69BE2C}"/>
    <hyperlink ref="I86" r:id="rId248" xr:uid="{9774C1AF-073B-49C6-8D76-69DCA109E595}"/>
    <hyperlink ref="I87" r:id="rId249" xr:uid="{10151D34-6D48-4600-B9FE-686E16FE51F5}"/>
    <hyperlink ref="I88" r:id="rId250" xr:uid="{F26D584E-071F-4202-BAA4-8B0817F90EF5}"/>
    <hyperlink ref="I89" r:id="rId251" xr:uid="{CD8EB50B-EDE5-4A40-B901-9313F12EBDE6}"/>
    <hyperlink ref="I90" r:id="rId252" xr:uid="{14457957-83B7-4028-8DB8-455A5799D1D1}"/>
    <hyperlink ref="I91" r:id="rId253" xr:uid="{17FCA8A8-EB8C-4709-9E78-5EFE38BC1147}"/>
    <hyperlink ref="I92" r:id="rId254" xr:uid="{ECCA73D2-CED3-4262-B919-CBB244C5A0A9}"/>
    <hyperlink ref="I93" r:id="rId255" xr:uid="{1B128947-45D8-4F04-A665-5CFE1D9BBA3C}"/>
    <hyperlink ref="I94" r:id="rId256" xr:uid="{CC5D7DC9-4BCB-43C7-B64E-1C780BAB408A}"/>
    <hyperlink ref="I95" r:id="rId257" xr:uid="{16190418-522F-41A9-997C-C201E456A917}"/>
    <hyperlink ref="I96" r:id="rId258" xr:uid="{D4FBCCFA-0C9A-4C24-906B-201B76395B23}"/>
    <hyperlink ref="I97" r:id="rId259" xr:uid="{244A5F13-8232-4797-B25B-36A0FAA1AFD9}"/>
    <hyperlink ref="I98" r:id="rId260" xr:uid="{1E8E9435-160D-4E0B-92CC-972B84986AF3}"/>
    <hyperlink ref="I99" r:id="rId261" xr:uid="{A00A3798-F6CD-492F-82E1-FC729A834F48}"/>
    <hyperlink ref="I100" r:id="rId262" xr:uid="{B7A6BE7A-F05F-4E1B-A912-46A0432BC4E0}"/>
    <hyperlink ref="I101" r:id="rId263" xr:uid="{FD4E28B9-6C21-4435-A3F8-6576CAAA02DB}"/>
    <hyperlink ref="I102" r:id="rId264" xr:uid="{5256DF62-A912-4090-A914-3DCE71EA0845}"/>
    <hyperlink ref="I103" r:id="rId265" xr:uid="{FA500220-D2CB-4F8D-A891-ADE888474BFB}"/>
    <hyperlink ref="I104" r:id="rId266" xr:uid="{82A632B1-A20C-4FAA-8ADB-5FEEFC290CF0}"/>
    <hyperlink ref="I105" r:id="rId267" xr:uid="{2F101B94-5656-4098-980E-1E06257F0512}"/>
    <hyperlink ref="I106" r:id="rId268" xr:uid="{57B1BECC-A7EF-46EC-95C9-5B966C058C8A}"/>
    <hyperlink ref="I107" r:id="rId269" xr:uid="{A51423B6-734D-4583-B311-948FE00685DF}"/>
    <hyperlink ref="I108" r:id="rId270" xr:uid="{97C7E03F-D2F6-4D38-A8C7-A87A4F7EDF08}"/>
    <hyperlink ref="I109" r:id="rId271" xr:uid="{88B1A030-3B76-4084-8DCF-248A7261282E}"/>
    <hyperlink ref="I110" r:id="rId272" xr:uid="{0BC842AD-486F-4008-B4EA-8D65168739F1}"/>
    <hyperlink ref="I111" r:id="rId273" xr:uid="{E2D92327-63B4-44D1-8708-DB1B9A87B0F6}"/>
    <hyperlink ref="I112" r:id="rId274" xr:uid="{9E0EDAE4-AED3-4325-909B-0427F7C7E172}"/>
    <hyperlink ref="I113" r:id="rId275" xr:uid="{8C1B451D-7305-4786-B424-5F72CA0195C5}"/>
    <hyperlink ref="I114" r:id="rId276" xr:uid="{E1882FAE-09D5-4946-AA2A-4942B28410F1}"/>
    <hyperlink ref="I115" r:id="rId277" xr:uid="{ECA635A8-3C53-4836-9825-997602E69E2A}"/>
    <hyperlink ref="I116" r:id="rId278" xr:uid="{3D23EEC4-4962-4FB3-B5CF-7EAB7243C3A1}"/>
    <hyperlink ref="I117" r:id="rId279" xr:uid="{D02D6065-AB0B-4A07-AF10-D47AD3671F15}"/>
    <hyperlink ref="I118" r:id="rId280" xr:uid="{48EC2277-68E0-4085-BD94-B22F4D9560A0}"/>
    <hyperlink ref="I119" r:id="rId281" xr:uid="{179A38D5-D60D-44DF-98FA-85CC9D0C53C4}"/>
    <hyperlink ref="I120" r:id="rId282" xr:uid="{A2A43135-C757-4DC4-A20A-240D8E8B895E}"/>
    <hyperlink ref="I121" r:id="rId283" xr:uid="{805ED767-D8FB-4CF5-AC22-C1E6A804533F}"/>
    <hyperlink ref="I122" r:id="rId284" xr:uid="{DE1C1CE6-0247-4953-ACA6-09F8708EA83F}"/>
    <hyperlink ref="I123" r:id="rId285" xr:uid="{3FF5F92F-031F-4D91-BA49-A47A6C233558}"/>
    <hyperlink ref="I124" r:id="rId286" xr:uid="{1ACCEC6A-BFDD-4A71-9C12-F24863DE0454}"/>
    <hyperlink ref="I125" r:id="rId287" xr:uid="{74033A47-1B03-4075-B9E0-0C50A4C47A3B}"/>
    <hyperlink ref="I126" r:id="rId288" xr:uid="{B86DBB64-D511-405B-B775-34C287030297}"/>
    <hyperlink ref="I127" r:id="rId289" xr:uid="{5833E214-0FCD-4CE1-B2A2-4B02686855E7}"/>
    <hyperlink ref="I128" r:id="rId290" xr:uid="{4FF43B07-00B0-4E3D-968D-A20B27ABEEF9}"/>
    <hyperlink ref="I129" r:id="rId291" xr:uid="{D6473DA0-7DCA-4FE3-88E7-522F4B5BF7EB}"/>
    <hyperlink ref="I130" r:id="rId292" xr:uid="{897BEEDE-EFB0-45C1-A944-0EC7CA9BD959}"/>
    <hyperlink ref="I131" r:id="rId293" xr:uid="{178A11B3-0F0E-4139-8A4D-B0F202CFA7EA}"/>
    <hyperlink ref="I132" r:id="rId294" xr:uid="{6071B999-97C4-4FB7-BEDC-11F0F72BA067}"/>
    <hyperlink ref="I133" r:id="rId295" xr:uid="{45EE6247-712A-4987-8521-2D0980CA8248}"/>
    <hyperlink ref="I134" r:id="rId296" xr:uid="{51A05746-EC71-4CF6-A2F8-C14D044A6A5D}"/>
    <hyperlink ref="I135" r:id="rId297" xr:uid="{BE7767B0-0916-47C5-9D83-ABF44BABBB90}"/>
    <hyperlink ref="I136" r:id="rId298" xr:uid="{D95E8AEE-F431-4F65-A008-9DC97499E27C}"/>
    <hyperlink ref="I137" r:id="rId299" xr:uid="{D5390729-02F6-4D73-BE23-6127BB3139F5}"/>
    <hyperlink ref="I138" r:id="rId300" xr:uid="{2A1275D9-9B49-4072-B62E-4D864EB20248}"/>
    <hyperlink ref="I139" r:id="rId301" xr:uid="{B1C40EA4-5A2F-4BC9-86CB-DBBF068E033C}"/>
    <hyperlink ref="I140" r:id="rId302" xr:uid="{9FAC87F6-4F62-4363-8D90-D7CBEACC2968}"/>
    <hyperlink ref="I141" r:id="rId303" xr:uid="{A6857020-63BA-4F85-91FD-FF04CEE63590}"/>
    <hyperlink ref="I142" r:id="rId304" xr:uid="{D15E2499-6768-4235-A15A-9D961499BB1F}"/>
    <hyperlink ref="I143" r:id="rId305" xr:uid="{3982E943-A2B2-4B3A-BE0E-F2768D59A390}"/>
    <hyperlink ref="I144" r:id="rId306" xr:uid="{738F1D15-15EC-42F9-9595-95883C5EC9B5}"/>
    <hyperlink ref="I145" r:id="rId307" xr:uid="{6681E6EC-D73C-4435-8968-0A1F738B2BFD}"/>
    <hyperlink ref="I146" r:id="rId308" xr:uid="{C01B4D5A-659D-4069-BD73-A1069AB75600}"/>
    <hyperlink ref="I147" r:id="rId309" xr:uid="{549200FE-110A-4FDA-8CC3-98B519C7F31B}"/>
    <hyperlink ref="I148" r:id="rId310" xr:uid="{60F08375-B79F-45EA-B653-171CCA8A1382}"/>
    <hyperlink ref="I149" r:id="rId311" xr:uid="{AE33B3CE-7EF2-4B26-B704-0D624E9C01ED}"/>
    <hyperlink ref="I150" r:id="rId312" xr:uid="{01F89C12-9F98-4CB8-9890-84C7395D78D9}"/>
    <hyperlink ref="I151" r:id="rId313" xr:uid="{0DC17100-01B7-4974-9CBE-7DF1C5A366BD}"/>
    <hyperlink ref="I152" r:id="rId314" xr:uid="{7B38E065-0161-4719-83CD-D0B9CB2C4C33}"/>
    <hyperlink ref="I153" r:id="rId315" xr:uid="{56E6949E-907C-439D-A95C-EFAEAEA81E29}"/>
    <hyperlink ref="I154" r:id="rId316" xr:uid="{DB9CA5B3-8667-46AE-BE54-978CF3F33E13}"/>
    <hyperlink ref="I155" r:id="rId317" xr:uid="{4C7EDA29-E196-49DE-BC16-346F6F002AB3}"/>
    <hyperlink ref="I156" r:id="rId318" xr:uid="{C53701F5-98AB-4720-899F-DE30FC46F72F}"/>
    <hyperlink ref="I157" r:id="rId319" xr:uid="{80F47D42-E543-4B39-8BC2-E60C271943F0}"/>
    <hyperlink ref="I158" r:id="rId320" xr:uid="{41A4686D-74D8-456D-A03F-FF5755EB73D6}"/>
    <hyperlink ref="I159" r:id="rId321" xr:uid="{DE241BF6-96EA-4C33-B243-51318901580A}"/>
    <hyperlink ref="I160" r:id="rId322" xr:uid="{87351E29-8C32-481B-83D4-489FFCB071DF}"/>
    <hyperlink ref="I161" r:id="rId323" xr:uid="{E6B56356-202C-4D02-9E78-DF993F3287E7}"/>
    <hyperlink ref="I162" r:id="rId324" xr:uid="{42AB8627-5478-4B35-B4E3-7FA003F6FE7A}"/>
    <hyperlink ref="I163" r:id="rId325" xr:uid="{ACD9D51E-9A6D-4C92-ADAC-B9FB24BF0B47}"/>
    <hyperlink ref="I164" r:id="rId326" xr:uid="{EF07C447-8D06-4879-8E52-DA8CC26307F3}"/>
    <hyperlink ref="I165" r:id="rId327" xr:uid="{7DF21D5D-0C5B-43F5-97A6-4C068232DDD9}"/>
    <hyperlink ref="I166" r:id="rId328" xr:uid="{4B5BA93D-2DFA-45A8-8A02-F3D301417108}"/>
    <hyperlink ref="I167" r:id="rId329" xr:uid="{3405AC23-1FD8-4DC7-879A-B439D2F30354}"/>
    <hyperlink ref="I168" r:id="rId330" xr:uid="{FD68E5D9-D3E6-4454-8E85-69C04F44F87C}"/>
    <hyperlink ref="I169" r:id="rId331" xr:uid="{D50EE429-ECE6-428A-B2E9-611734C6C745}"/>
    <hyperlink ref="I170" r:id="rId332" xr:uid="{1B63609B-90C1-46E2-9120-6C90B868C3A4}"/>
    <hyperlink ref="I171" r:id="rId333" xr:uid="{16B7098E-541D-493A-9DA3-F94C7FA3D40B}"/>
    <hyperlink ref="I172" r:id="rId334" xr:uid="{3FD3FBF5-44A1-49FC-B713-EAD62BF4A952}"/>
    <hyperlink ref="I173" r:id="rId335" xr:uid="{8CC56E00-122E-4646-AF46-6A82671463D2}"/>
    <hyperlink ref="I174" r:id="rId336" xr:uid="{4D2158F4-C285-4865-8160-0EF32F3C7340}"/>
    <hyperlink ref="I175" r:id="rId337" xr:uid="{40A5E762-B261-46B8-AF9C-A37A0C57218F}"/>
    <hyperlink ref="I176" r:id="rId338" xr:uid="{657CBC11-6A74-48EB-B019-5B7D37DE0C59}"/>
    <hyperlink ref="I177" r:id="rId339" xr:uid="{8C38E9F3-0FF6-4ACC-A8D8-4DF44407BD30}"/>
    <hyperlink ref="I178" r:id="rId340" xr:uid="{84F8D89E-9A54-4E19-9118-011E68FF27B2}"/>
    <hyperlink ref="I179" r:id="rId341" xr:uid="{A948928A-3864-40A3-B8FA-2D6BF8192CC6}"/>
    <hyperlink ref="I180" r:id="rId342" xr:uid="{5DF7FF71-4578-4B86-A655-BBFA2FDB460A}"/>
    <hyperlink ref="I181" r:id="rId343" xr:uid="{4251F099-FC4E-4C8A-A341-42BBFA70CEFB}"/>
    <hyperlink ref="I182" r:id="rId344" xr:uid="{31124429-E878-4CA2-94DA-11788FF78785}"/>
  </hyperlinks>
  <pageMargins left="0.7" right="0.7" top="0.75" bottom="0.75" header="0.3" footer="0.3"/>
  <drawing r:id="rId345"/>
  <legacyDrawing r:id="rId346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28C2A-5FF6-4005-99D5-B0900AD51B33}">
  <sheetPr codeName="Sheet11">
    <tabColor theme="9" tint="0.59999389629810485"/>
  </sheetPr>
  <dimension ref="A3:Q24"/>
  <sheetViews>
    <sheetView topLeftCell="F1" zoomScale="70" zoomScaleNormal="70" workbookViewId="0">
      <selection activeCell="Q12" sqref="Q12"/>
    </sheetView>
  </sheetViews>
  <sheetFormatPr defaultRowHeight="18"/>
  <cols>
    <col min="1" max="1" width="21.125" customWidth="1"/>
    <col min="2" max="2" width="19.875" customWidth="1"/>
    <col min="3" max="3" width="18.75" customWidth="1"/>
    <col min="4" max="4" width="17.375" customWidth="1"/>
    <col min="5" max="5" width="14.5" bestFit="1" customWidth="1"/>
    <col min="6" max="6" width="14.125" bestFit="1" customWidth="1"/>
    <col min="7" max="7" width="16" bestFit="1" customWidth="1"/>
    <col min="8" max="8" width="8.875" bestFit="1" customWidth="1"/>
    <col min="9" max="9" width="12.25" bestFit="1" customWidth="1"/>
    <col min="10" max="10" width="10.375" bestFit="1" customWidth="1"/>
    <col min="11" max="11" width="13.75" bestFit="1" customWidth="1"/>
    <col min="13" max="13" width="13.75" bestFit="1" customWidth="1"/>
    <col min="16" max="16" width="6.5" customWidth="1"/>
    <col min="17" max="17" width="11.5" bestFit="1" customWidth="1"/>
    <col min="18" max="18" width="25" customWidth="1"/>
    <col min="19" max="19" width="11.375" bestFit="1" customWidth="1"/>
    <col min="20" max="20" width="27.75" customWidth="1"/>
    <col min="21" max="21" width="10.375" bestFit="1" customWidth="1"/>
    <col min="22" max="23" width="13.75" bestFit="1" customWidth="1"/>
    <col min="25" max="25" width="13.75" bestFit="1" customWidth="1"/>
  </cols>
  <sheetData>
    <row r="3" spans="1:17">
      <c r="L3" t="s">
        <v>244</v>
      </c>
      <c r="M3" s="39">
        <v>1</v>
      </c>
      <c r="N3" s="39" t="s">
        <v>245</v>
      </c>
    </row>
    <row r="4" spans="1:17" ht="22.5">
      <c r="A4" s="20" t="s">
        <v>246</v>
      </c>
      <c r="M4" s="39">
        <v>2</v>
      </c>
      <c r="N4" s="39" t="s">
        <v>247</v>
      </c>
    </row>
    <row r="5" spans="1:17">
      <c r="A5" t="s">
        <v>184</v>
      </c>
    </row>
    <row r="6" spans="1:17">
      <c r="A6" t="s">
        <v>248</v>
      </c>
    </row>
    <row r="7" spans="1:17">
      <c r="A7" t="s">
        <v>249</v>
      </c>
    </row>
    <row r="9" spans="1:17">
      <c r="A9" s="15" t="s">
        <v>186</v>
      </c>
      <c r="B9" s="15" t="s">
        <v>250</v>
      </c>
      <c r="C9" s="15" t="s">
        <v>223</v>
      </c>
      <c r="D9" s="15" t="s">
        <v>251</v>
      </c>
      <c r="E9" s="15" t="s">
        <v>252</v>
      </c>
      <c r="F9" s="15" t="s">
        <v>253</v>
      </c>
      <c r="G9" s="15" t="s">
        <v>254</v>
      </c>
      <c r="H9" s="15" t="s">
        <v>239</v>
      </c>
      <c r="I9" s="15" t="s">
        <v>255</v>
      </c>
      <c r="J9" s="15" t="s">
        <v>256</v>
      </c>
      <c r="K9" s="15" t="s">
        <v>195</v>
      </c>
      <c r="L9" s="15" t="s">
        <v>196</v>
      </c>
      <c r="M9" s="15" t="s">
        <v>197</v>
      </c>
      <c r="N9" s="15" t="s">
        <v>198</v>
      </c>
      <c r="O9" s="15" t="s">
        <v>199</v>
      </c>
      <c r="P9" s="15" t="s">
        <v>200</v>
      </c>
    </row>
    <row r="10" spans="1:17" ht="18.600000000000001" thickBot="1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</row>
    <row r="11" spans="1:17">
      <c r="A11" s="17" t="s">
        <v>257</v>
      </c>
      <c r="B11" s="43" t="s">
        <v>93</v>
      </c>
      <c r="C11" s="31">
        <v>1</v>
      </c>
      <c r="D11" s="31" t="s">
        <v>258</v>
      </c>
      <c r="E11" s="31">
        <v>1</v>
      </c>
      <c r="F11" s="31">
        <v>11122223333</v>
      </c>
      <c r="G11" s="31">
        <v>22233334444</v>
      </c>
      <c r="H11" s="31">
        <v>1</v>
      </c>
      <c r="I11" s="31" t="s">
        <v>259</v>
      </c>
      <c r="J11" s="40">
        <v>45828</v>
      </c>
      <c r="K11" s="31">
        <v>0</v>
      </c>
      <c r="L11" s="31"/>
      <c r="M11" s="43" t="s">
        <v>213</v>
      </c>
      <c r="N11" s="40">
        <v>45831</v>
      </c>
      <c r="O11" s="43" t="s">
        <v>213</v>
      </c>
      <c r="P11" s="40">
        <v>45831</v>
      </c>
      <c r="Q11" t="s">
        <v>260</v>
      </c>
    </row>
    <row r="12" spans="1:17">
      <c r="A12" s="17" t="s">
        <v>105</v>
      </c>
      <c r="B12" s="43" t="s">
        <v>213</v>
      </c>
      <c r="C12" s="31">
        <v>1</v>
      </c>
      <c r="D12" s="31" t="s">
        <v>261</v>
      </c>
      <c r="E12" s="31">
        <v>2</v>
      </c>
      <c r="F12" s="31">
        <v>11122223334</v>
      </c>
      <c r="G12" s="31">
        <v>22233334445</v>
      </c>
      <c r="H12" s="31">
        <v>2</v>
      </c>
      <c r="I12" s="31" t="s">
        <v>259</v>
      </c>
      <c r="J12" s="40">
        <v>45828</v>
      </c>
      <c r="K12" s="31">
        <v>0</v>
      </c>
      <c r="L12" s="31"/>
      <c r="M12" s="43" t="s">
        <v>213</v>
      </c>
      <c r="N12" s="40">
        <v>45831</v>
      </c>
      <c r="O12" s="43" t="s">
        <v>213</v>
      </c>
      <c r="P12" s="40">
        <v>45831</v>
      </c>
    </row>
    <row r="13" spans="1:17">
      <c r="A13" s="17" t="s">
        <v>106</v>
      </c>
      <c r="B13" s="43" t="s">
        <v>262</v>
      </c>
      <c r="C13" s="31">
        <v>1</v>
      </c>
      <c r="D13" s="31" t="s">
        <v>263</v>
      </c>
      <c r="E13" s="31">
        <v>2</v>
      </c>
      <c r="F13" s="31">
        <v>11122223335</v>
      </c>
      <c r="G13" s="31">
        <v>22233334446</v>
      </c>
      <c r="H13" s="31">
        <v>3</v>
      </c>
      <c r="I13" s="31" t="s">
        <v>259</v>
      </c>
      <c r="J13" s="40">
        <v>45828</v>
      </c>
      <c r="K13" s="31">
        <v>0</v>
      </c>
      <c r="L13" s="31"/>
      <c r="M13" s="43" t="s">
        <v>213</v>
      </c>
      <c r="N13" s="40">
        <v>45831</v>
      </c>
      <c r="O13" s="43" t="s">
        <v>213</v>
      </c>
      <c r="P13" s="40">
        <v>45831</v>
      </c>
    </row>
    <row r="14" spans="1:17">
      <c r="A14" s="17" t="s">
        <v>107</v>
      </c>
      <c r="B14" s="43" t="s">
        <v>264</v>
      </c>
      <c r="C14" s="31">
        <v>1</v>
      </c>
      <c r="D14" s="31" t="s">
        <v>265</v>
      </c>
      <c r="E14" s="31">
        <v>2</v>
      </c>
      <c r="F14" s="31">
        <v>11122223336</v>
      </c>
      <c r="G14" s="31">
        <v>22233334447</v>
      </c>
      <c r="H14" s="31">
        <v>4</v>
      </c>
      <c r="I14" s="31" t="s">
        <v>259</v>
      </c>
      <c r="J14" s="40">
        <v>45828</v>
      </c>
      <c r="K14" s="31">
        <v>0</v>
      </c>
      <c r="L14" s="31"/>
      <c r="M14" s="43" t="s">
        <v>213</v>
      </c>
      <c r="N14" s="40">
        <v>45831</v>
      </c>
      <c r="O14" s="43" t="s">
        <v>213</v>
      </c>
      <c r="P14" s="40">
        <v>45831</v>
      </c>
    </row>
    <row r="15" spans="1:17">
      <c r="A15" s="17" t="s">
        <v>108</v>
      </c>
      <c r="B15" s="43" t="s">
        <v>266</v>
      </c>
      <c r="C15" s="31">
        <v>2</v>
      </c>
      <c r="D15" s="31" t="s">
        <v>267</v>
      </c>
      <c r="E15" s="31">
        <v>1</v>
      </c>
      <c r="F15" s="31">
        <v>11122223337</v>
      </c>
      <c r="G15" s="31">
        <v>22233334448</v>
      </c>
      <c r="H15" s="31">
        <v>1</v>
      </c>
      <c r="I15" s="31" t="s">
        <v>259</v>
      </c>
      <c r="J15" s="40">
        <v>45828</v>
      </c>
      <c r="K15" s="31">
        <v>0</v>
      </c>
      <c r="L15" s="31"/>
      <c r="M15" s="43" t="s">
        <v>213</v>
      </c>
      <c r="N15" s="40">
        <v>45831</v>
      </c>
      <c r="O15" s="43" t="s">
        <v>213</v>
      </c>
      <c r="P15" s="40">
        <v>45831</v>
      </c>
    </row>
    <row r="16" spans="1:17">
      <c r="A16" s="17" t="s">
        <v>109</v>
      </c>
      <c r="B16" s="43" t="s">
        <v>268</v>
      </c>
      <c r="C16" s="31">
        <v>2</v>
      </c>
      <c r="D16" s="31" t="s">
        <v>269</v>
      </c>
      <c r="E16" s="31">
        <v>2</v>
      </c>
      <c r="F16" s="31">
        <v>11122223338</v>
      </c>
      <c r="G16" s="31">
        <v>22233334449</v>
      </c>
      <c r="H16" s="31">
        <v>2</v>
      </c>
      <c r="I16" s="31" t="s">
        <v>259</v>
      </c>
      <c r="J16" s="40">
        <v>45828</v>
      </c>
      <c r="K16" s="31">
        <v>0</v>
      </c>
      <c r="L16" s="31"/>
      <c r="M16" s="43" t="s">
        <v>213</v>
      </c>
      <c r="N16" s="40">
        <v>45831</v>
      </c>
      <c r="O16" s="43" t="s">
        <v>213</v>
      </c>
      <c r="P16" s="40">
        <v>45831</v>
      </c>
    </row>
    <row r="17" spans="1:16">
      <c r="A17" s="17" t="s">
        <v>110</v>
      </c>
      <c r="B17" s="43" t="s">
        <v>270</v>
      </c>
      <c r="C17" s="31">
        <v>2</v>
      </c>
      <c r="D17" s="31" t="s">
        <v>271</v>
      </c>
      <c r="E17" s="31">
        <v>2</v>
      </c>
      <c r="F17" s="31">
        <v>11122223339</v>
      </c>
      <c r="G17" s="31">
        <v>22233334450</v>
      </c>
      <c r="H17" s="31">
        <v>3</v>
      </c>
      <c r="I17" s="31" t="s">
        <v>259</v>
      </c>
      <c r="J17" s="40">
        <v>45828</v>
      </c>
      <c r="K17" s="31">
        <v>0</v>
      </c>
      <c r="L17" s="31"/>
      <c r="M17" s="43" t="s">
        <v>213</v>
      </c>
      <c r="N17" s="40">
        <v>45831</v>
      </c>
      <c r="O17" s="43" t="s">
        <v>213</v>
      </c>
      <c r="P17" s="40">
        <v>45831</v>
      </c>
    </row>
    <row r="18" spans="1:16">
      <c r="A18" s="17" t="s">
        <v>111</v>
      </c>
      <c r="B18" s="43" t="s">
        <v>272</v>
      </c>
      <c r="C18" s="31">
        <v>2</v>
      </c>
      <c r="D18" s="31" t="s">
        <v>273</v>
      </c>
      <c r="E18" s="31">
        <v>2</v>
      </c>
      <c r="F18" s="31">
        <v>11122223340</v>
      </c>
      <c r="G18" s="31">
        <v>22233334451</v>
      </c>
      <c r="H18" s="31">
        <v>4</v>
      </c>
      <c r="I18" s="31" t="s">
        <v>259</v>
      </c>
      <c r="J18" s="40">
        <v>45828</v>
      </c>
      <c r="K18" s="31">
        <v>0</v>
      </c>
      <c r="L18" s="31"/>
      <c r="M18" s="43" t="s">
        <v>213</v>
      </c>
      <c r="N18" s="40">
        <v>45831</v>
      </c>
      <c r="O18" s="43" t="s">
        <v>213</v>
      </c>
      <c r="P18" s="40">
        <v>45831</v>
      </c>
    </row>
    <row r="19" spans="1:16">
      <c r="A19" s="17" t="s">
        <v>112</v>
      </c>
      <c r="B19" s="43" t="s">
        <v>274</v>
      </c>
      <c r="C19" s="31">
        <v>3</v>
      </c>
      <c r="D19" s="31" t="s">
        <v>275</v>
      </c>
      <c r="E19" s="31">
        <v>1</v>
      </c>
      <c r="F19" s="31">
        <v>11122223341</v>
      </c>
      <c r="G19" s="31">
        <v>22233334452</v>
      </c>
      <c r="H19" s="31">
        <v>1</v>
      </c>
      <c r="I19" s="31" t="s">
        <v>259</v>
      </c>
      <c r="J19" s="40">
        <v>45828</v>
      </c>
      <c r="K19" s="31">
        <v>0</v>
      </c>
      <c r="L19" s="31"/>
      <c r="M19" s="43" t="s">
        <v>213</v>
      </c>
      <c r="N19" s="40">
        <v>45831</v>
      </c>
      <c r="O19" s="43" t="s">
        <v>213</v>
      </c>
      <c r="P19" s="40">
        <v>45831</v>
      </c>
    </row>
    <row r="20" spans="1:16">
      <c r="A20" s="17" t="s">
        <v>113</v>
      </c>
      <c r="B20" s="43" t="s">
        <v>276</v>
      </c>
      <c r="C20" s="31">
        <v>3</v>
      </c>
      <c r="D20" s="31" t="s">
        <v>277</v>
      </c>
      <c r="E20" s="31">
        <v>2</v>
      </c>
      <c r="F20" s="31">
        <v>11122223342</v>
      </c>
      <c r="G20" s="31">
        <v>22233334453</v>
      </c>
      <c r="H20" s="31">
        <v>2</v>
      </c>
      <c r="I20" s="31" t="s">
        <v>259</v>
      </c>
      <c r="J20" s="40">
        <v>45828</v>
      </c>
      <c r="K20" s="31">
        <v>0</v>
      </c>
      <c r="L20" s="31"/>
      <c r="M20" s="43" t="s">
        <v>213</v>
      </c>
      <c r="N20" s="40">
        <v>45831</v>
      </c>
      <c r="O20" s="43" t="s">
        <v>213</v>
      </c>
      <c r="P20" s="40">
        <v>45831</v>
      </c>
    </row>
    <row r="21" spans="1:16">
      <c r="A21" s="17" t="s">
        <v>114</v>
      </c>
      <c r="B21" s="43" t="s">
        <v>278</v>
      </c>
      <c r="C21" s="31">
        <v>3</v>
      </c>
      <c r="D21" s="31" t="s">
        <v>279</v>
      </c>
      <c r="E21" s="31">
        <v>2</v>
      </c>
      <c r="F21" s="31">
        <v>11122223343</v>
      </c>
      <c r="G21" s="31">
        <v>22233334454</v>
      </c>
      <c r="H21" s="31">
        <v>3</v>
      </c>
      <c r="I21" s="31" t="s">
        <v>259</v>
      </c>
      <c r="J21" s="40">
        <v>45828</v>
      </c>
      <c r="K21" s="31">
        <v>0</v>
      </c>
      <c r="L21" s="31"/>
      <c r="M21" s="43" t="s">
        <v>213</v>
      </c>
      <c r="N21" s="40">
        <v>45831</v>
      </c>
      <c r="O21" s="43" t="s">
        <v>213</v>
      </c>
      <c r="P21" s="40">
        <v>45831</v>
      </c>
    </row>
    <row r="22" spans="1:16">
      <c r="A22" s="17" t="s">
        <v>115</v>
      </c>
      <c r="B22" s="43" t="s">
        <v>280</v>
      </c>
      <c r="C22" s="31">
        <v>3</v>
      </c>
      <c r="D22" s="31" t="s">
        <v>281</v>
      </c>
      <c r="E22" s="31">
        <v>2</v>
      </c>
      <c r="F22" s="31">
        <v>11122223344</v>
      </c>
      <c r="G22" s="31">
        <v>22233334455</v>
      </c>
      <c r="H22" s="31">
        <v>4</v>
      </c>
      <c r="I22" s="31" t="s">
        <v>259</v>
      </c>
      <c r="J22" s="40">
        <v>45828</v>
      </c>
      <c r="K22" s="31">
        <v>0</v>
      </c>
      <c r="L22" s="31"/>
      <c r="M22" s="43" t="s">
        <v>213</v>
      </c>
      <c r="N22" s="40">
        <v>45831</v>
      </c>
      <c r="O22" s="43" t="s">
        <v>213</v>
      </c>
      <c r="P22" s="40">
        <v>45831</v>
      </c>
    </row>
    <row r="23" spans="1:16">
      <c r="A23" s="17"/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</row>
    <row r="24" spans="1:16">
      <c r="A24" s="17"/>
      <c r="B24" s="30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</row>
  </sheetData>
  <phoneticPr fontId="5"/>
  <hyperlinks>
    <hyperlink ref="B11" r:id="rId1" xr:uid="{E9119B7F-B51A-4F3F-9A46-CA16DF7CDD3E}"/>
    <hyperlink ref="B12" r:id="rId2" xr:uid="{344410A6-92A5-4225-9679-8E33A10E870E}"/>
    <hyperlink ref="B13" r:id="rId3" display="'sys-c@email.com" xr:uid="{3F807410-80B1-4C68-8466-D35CC479109E}"/>
    <hyperlink ref="B15" r:id="rId4" display="'sys-e@email.com" xr:uid="{EB03810C-496F-4C6C-8CAF-6611115FE871}"/>
    <hyperlink ref="B17" r:id="rId5" display="'sys-g@email.com" xr:uid="{093A24C0-5D2A-4BCE-A8FC-2B9A421D964A}"/>
    <hyperlink ref="B19" r:id="rId6" display="'sys-i@email.com" xr:uid="{E283FF63-B219-4FEA-9BFA-FB1ED0D0A3F0}"/>
    <hyperlink ref="B21" r:id="rId7" display="'sys-k@email.com" xr:uid="{64D9B35A-A096-4847-8F8E-ABD9F03EC87D}"/>
    <hyperlink ref="B14" r:id="rId8" display="'sys-d@email.com" xr:uid="{32ACEF08-BAE6-4D87-952C-C9E079E3A5FF}"/>
    <hyperlink ref="B16" r:id="rId9" display="'sys-f@email.com" xr:uid="{F3B4F6B8-B1D7-4D21-B941-8A80EA670873}"/>
    <hyperlink ref="B18" r:id="rId10" display="'sys-h@email.com" xr:uid="{4E95B892-0C6A-4052-BB5A-2589C8F2E172}"/>
    <hyperlink ref="B20" r:id="rId11" display="'sys-j@email.com" xr:uid="{2639C684-28CC-4409-85D7-D46C50EA9D67}"/>
    <hyperlink ref="B22" r:id="rId12" display="'sys-l@email.com" xr:uid="{ECFBE299-5BDE-4B6B-8DD4-E603DB5253F0}"/>
    <hyperlink ref="M11" r:id="rId13" xr:uid="{43A668DB-B121-4DEE-BD1D-3064C7956D8A}"/>
    <hyperlink ref="M12" r:id="rId14" xr:uid="{3EAB7906-1B18-4B65-AC40-2791AB6F95AF}"/>
    <hyperlink ref="M13" r:id="rId15" xr:uid="{66E20E0B-1ABD-4A20-A4B1-9B04A77C01EC}"/>
    <hyperlink ref="M14" r:id="rId16" xr:uid="{A9B2538B-13B0-40D8-885B-8E8352FFC0DC}"/>
    <hyperlink ref="M15" r:id="rId17" xr:uid="{E181AAB7-A6F6-4D34-90DF-60AAFA1A9B6B}"/>
    <hyperlink ref="M16" r:id="rId18" xr:uid="{1DF3DEA4-A7C3-4BB9-A8F6-15985D1325A8}"/>
    <hyperlink ref="M17" r:id="rId19" xr:uid="{E82C7359-CB80-42C3-BA4C-51FC08719EE1}"/>
    <hyperlink ref="M18" r:id="rId20" xr:uid="{5256F40C-A7C5-4B6D-885F-D0ED10845A7F}"/>
    <hyperlink ref="M19" r:id="rId21" xr:uid="{FDE3744B-1E3A-47AD-AFCB-920AC60DDB15}"/>
    <hyperlink ref="M20" r:id="rId22" xr:uid="{8DFDD03B-F7FD-4989-AB7A-F39B8FFF6F9B}"/>
    <hyperlink ref="M21" r:id="rId23" xr:uid="{E6EE837C-FC64-4A54-AB51-E59D3944833D}"/>
    <hyperlink ref="M22" r:id="rId24" xr:uid="{2D90C3A2-9B64-4F4D-9E03-C06BA58974A3}"/>
    <hyperlink ref="O11" r:id="rId25" xr:uid="{904532DD-AFDE-4CC9-99BD-8318717D9BBE}"/>
    <hyperlink ref="O12" r:id="rId26" xr:uid="{B696E0FD-DBBB-411A-85AF-A99D8D282319}"/>
    <hyperlink ref="O13" r:id="rId27" xr:uid="{40C4900F-7B13-46BF-A492-A925F5CF6BF2}"/>
    <hyperlink ref="O14" r:id="rId28" xr:uid="{F53697DC-D06D-40C5-9825-7A635E17EC50}"/>
    <hyperlink ref="O15" r:id="rId29" xr:uid="{1D3C7B64-C19F-4B4C-9919-00B074EAC7C0}"/>
    <hyperlink ref="O16" r:id="rId30" xr:uid="{B4A23457-7888-4BBF-891A-C8C0B825D551}"/>
    <hyperlink ref="O17" r:id="rId31" xr:uid="{3F7FAB87-7995-4C00-A945-F8B176979E78}"/>
    <hyperlink ref="O18" r:id="rId32" xr:uid="{CD16D491-9A0D-4884-A5A5-4A14ACC935D6}"/>
    <hyperlink ref="O19" r:id="rId33" xr:uid="{A395AD5D-8A33-4135-8B7C-D8BB0A2F2137}"/>
    <hyperlink ref="O20" r:id="rId34" xr:uid="{54B98C0B-0732-4CDD-8BFE-CBE707914861}"/>
    <hyperlink ref="O21" r:id="rId35" xr:uid="{B4FFF0E8-DD44-4958-B451-E4508C6FC755}"/>
    <hyperlink ref="O22" r:id="rId36" xr:uid="{119BD3D1-E6BC-44A6-9187-A51A88838B22}"/>
  </hyperlinks>
  <pageMargins left="0.7" right="0.7" top="0.75" bottom="0.75" header="0.3" footer="0.3"/>
  <drawing r:id="rId37"/>
  <legacyDrawing r:id="rId3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49021-AFF9-4756-A844-B4C365769DC7}">
  <sheetPr codeName="Sheet12">
    <tabColor theme="9" tint="0.59999389629810485"/>
  </sheetPr>
  <dimension ref="A4:H13"/>
  <sheetViews>
    <sheetView zoomScale="85" zoomScaleNormal="85" workbookViewId="0">
      <selection activeCell="E9" sqref="E9:H9"/>
    </sheetView>
  </sheetViews>
  <sheetFormatPr defaultRowHeight="18"/>
  <cols>
    <col min="1" max="1" width="21.25" customWidth="1"/>
    <col min="2" max="2" width="27.625" customWidth="1"/>
    <col min="3" max="3" width="17.875" customWidth="1"/>
    <col min="4" max="4" width="22.125" customWidth="1"/>
    <col min="5" max="8" width="17.875" customWidth="1"/>
    <col min="11" max="11" width="23" customWidth="1"/>
  </cols>
  <sheetData>
    <row r="4" spans="1:8" ht="22.5">
      <c r="A4" s="20"/>
    </row>
    <row r="7" spans="1:8">
      <c r="A7" s="15" t="s">
        <v>186</v>
      </c>
      <c r="B7" s="15" t="s">
        <v>282</v>
      </c>
      <c r="C7" s="15" t="s">
        <v>283</v>
      </c>
      <c r="D7" s="15" t="s">
        <v>284</v>
      </c>
      <c r="E7" s="15" t="s">
        <v>285</v>
      </c>
      <c r="F7" s="15" t="s">
        <v>78</v>
      </c>
      <c r="G7" s="15" t="s">
        <v>286</v>
      </c>
      <c r="H7" s="15" t="s">
        <v>80</v>
      </c>
    </row>
    <row r="8" spans="1:8" ht="18.600000000000001" thickBot="1">
      <c r="A8" s="16"/>
      <c r="B8" s="16"/>
      <c r="C8" s="16"/>
      <c r="D8" s="16"/>
      <c r="E8" s="16"/>
      <c r="F8" s="16"/>
      <c r="G8" s="16"/>
      <c r="H8" s="16"/>
    </row>
    <row r="9" spans="1:8">
      <c r="A9" s="38"/>
      <c r="B9" s="30" t="s">
        <v>287</v>
      </c>
      <c r="C9" s="17">
        <v>30</v>
      </c>
      <c r="D9" s="17">
        <v>24</v>
      </c>
      <c r="E9" s="43" t="s">
        <v>213</v>
      </c>
      <c r="F9" s="40">
        <v>45831</v>
      </c>
      <c r="G9" s="43" t="s">
        <v>213</v>
      </c>
      <c r="H9" s="40">
        <v>45831</v>
      </c>
    </row>
    <row r="10" spans="1:8">
      <c r="A10" s="38"/>
      <c r="B10" s="17"/>
      <c r="C10" s="17"/>
      <c r="D10" s="17"/>
      <c r="E10" s="17"/>
      <c r="F10" s="17"/>
      <c r="G10" s="17"/>
      <c r="H10" s="17"/>
    </row>
    <row r="11" spans="1:8">
      <c r="A11" s="38"/>
      <c r="B11" s="17"/>
      <c r="C11" s="17"/>
      <c r="D11" s="17"/>
      <c r="E11" s="17"/>
      <c r="F11" s="17"/>
      <c r="G11" s="17"/>
      <c r="H11" s="17"/>
    </row>
    <row r="12" spans="1:8">
      <c r="A12" s="38"/>
      <c r="B12" s="17"/>
      <c r="C12" s="17"/>
      <c r="D12" s="17"/>
      <c r="E12" s="17"/>
      <c r="F12" s="17"/>
      <c r="G12" s="17"/>
      <c r="H12" s="17"/>
    </row>
    <row r="13" spans="1:8">
      <c r="A13" s="38"/>
      <c r="B13" s="17"/>
      <c r="C13" s="17"/>
      <c r="D13" s="17"/>
      <c r="E13" s="17"/>
      <c r="F13" s="17"/>
      <c r="G13" s="17"/>
      <c r="H13" s="17"/>
    </row>
  </sheetData>
  <phoneticPr fontId="5"/>
  <hyperlinks>
    <hyperlink ref="E9" r:id="rId1" xr:uid="{3A1460C4-5509-457D-8771-8E734E6AA943}"/>
    <hyperlink ref="G9" r:id="rId2" xr:uid="{FEE198C0-775D-4497-885D-FF199273382F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866F6-7A8C-428D-8BB6-61EAF46F8203}">
  <sheetPr codeName="Sheet13">
    <tabColor theme="9" tint="0.59999389629810485"/>
  </sheetPr>
  <dimension ref="A4:Y16"/>
  <sheetViews>
    <sheetView zoomScale="70" zoomScaleNormal="70" workbookViewId="0">
      <selection activeCell="C24" sqref="C24"/>
    </sheetView>
  </sheetViews>
  <sheetFormatPr defaultRowHeight="15.75" customHeight="1"/>
  <cols>
    <col min="1" max="1" width="21.125" customWidth="1"/>
    <col min="2" max="2" width="19.875" customWidth="1"/>
    <col min="3" max="3" width="18.75" customWidth="1"/>
    <col min="4" max="4" width="17.375" customWidth="1"/>
    <col min="5" max="5" width="14.5" bestFit="1" customWidth="1"/>
    <col min="6" max="6" width="14.125" bestFit="1" customWidth="1"/>
    <col min="7" max="7" width="16" bestFit="1" customWidth="1"/>
    <col min="8" max="8" width="8.875" bestFit="1" customWidth="1"/>
    <col min="9" max="9" width="12.25" bestFit="1" customWidth="1"/>
    <col min="10" max="10" width="10.375" bestFit="1" customWidth="1"/>
    <col min="11" max="11" width="13.75" bestFit="1" customWidth="1"/>
    <col min="13" max="13" width="13.75" bestFit="1" customWidth="1"/>
    <col min="16" max="16" width="14.25" customWidth="1"/>
    <col min="17" max="17" width="11.5" bestFit="1" customWidth="1"/>
    <col min="18" max="18" width="25" customWidth="1"/>
    <col min="19" max="19" width="11.375" bestFit="1" customWidth="1"/>
    <col min="20" max="20" width="27.75" customWidth="1"/>
    <col min="21" max="21" width="10.375" bestFit="1" customWidth="1"/>
    <col min="22" max="23" width="13.75" bestFit="1" customWidth="1"/>
    <col min="25" max="25" width="13.75" bestFit="1" customWidth="1"/>
  </cols>
  <sheetData>
    <row r="4" spans="1:25" ht="22.5">
      <c r="A4" s="20" t="s">
        <v>288</v>
      </c>
    </row>
    <row r="5" spans="1:25" ht="18">
      <c r="A5" t="s">
        <v>184</v>
      </c>
    </row>
    <row r="6" spans="1:25" ht="18">
      <c r="A6" t="s">
        <v>289</v>
      </c>
    </row>
    <row r="9" spans="1:25" ht="18">
      <c r="A9" s="15" t="s">
        <v>186</v>
      </c>
      <c r="B9" s="15" t="s">
        <v>187</v>
      </c>
      <c r="C9" s="15" t="s">
        <v>290</v>
      </c>
      <c r="D9" s="15" t="s">
        <v>291</v>
      </c>
      <c r="E9" s="15" t="s">
        <v>292</v>
      </c>
      <c r="F9" s="15" t="s">
        <v>293</v>
      </c>
      <c r="G9" s="15" t="s">
        <v>294</v>
      </c>
      <c r="H9" s="15" t="s">
        <v>295</v>
      </c>
      <c r="I9" s="15" t="s">
        <v>296</v>
      </c>
      <c r="J9" s="15" t="s">
        <v>297</v>
      </c>
      <c r="K9" s="15" t="s">
        <v>298</v>
      </c>
      <c r="L9" s="15" t="s">
        <v>299</v>
      </c>
      <c r="M9" s="15" t="s">
        <v>300</v>
      </c>
      <c r="N9" s="15" t="s">
        <v>301</v>
      </c>
      <c r="O9" s="15" t="s">
        <v>302</v>
      </c>
      <c r="P9" s="15" t="s">
        <v>303</v>
      </c>
      <c r="Q9" s="15" t="s">
        <v>304</v>
      </c>
      <c r="R9" s="15" t="s">
        <v>305</v>
      </c>
      <c r="S9" s="15" t="s">
        <v>306</v>
      </c>
      <c r="T9" s="15" t="s">
        <v>307</v>
      </c>
      <c r="U9" s="15" t="s">
        <v>308</v>
      </c>
      <c r="V9" s="15" t="s">
        <v>197</v>
      </c>
      <c r="W9" s="15" t="s">
        <v>198</v>
      </c>
      <c r="X9" s="15" t="s">
        <v>199</v>
      </c>
      <c r="Y9" s="15" t="s">
        <v>200</v>
      </c>
    </row>
    <row r="10" spans="1:25" ht="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</row>
    <row r="11" spans="1:25" ht="18">
      <c r="A11" s="38"/>
      <c r="B11" s="30">
        <v>2</v>
      </c>
      <c r="C11" s="41">
        <v>0.33333333333333331</v>
      </c>
      <c r="D11" s="41">
        <v>0.66666666666666663</v>
      </c>
      <c r="E11" s="42">
        <v>1</v>
      </c>
      <c r="F11" s="31">
        <v>5</v>
      </c>
      <c r="G11" s="31">
        <v>12</v>
      </c>
      <c r="H11" s="41">
        <v>0.83333333333333337</v>
      </c>
      <c r="I11" s="41">
        <v>0.20833333333333334</v>
      </c>
      <c r="J11" s="40">
        <v>10</v>
      </c>
      <c r="K11" s="31">
        <v>10</v>
      </c>
      <c r="L11" s="31">
        <v>10</v>
      </c>
      <c r="M11" s="31">
        <v>10</v>
      </c>
      <c r="N11" s="41">
        <v>0.33333333333333331</v>
      </c>
      <c r="O11" s="41">
        <v>0.75</v>
      </c>
      <c r="P11" s="31" t="s">
        <v>309</v>
      </c>
      <c r="Q11" s="31" t="s">
        <v>310</v>
      </c>
      <c r="R11" s="31" t="s">
        <v>311</v>
      </c>
      <c r="S11" s="31" t="s">
        <v>312</v>
      </c>
      <c r="T11" s="31" t="s">
        <v>313</v>
      </c>
      <c r="U11" s="31" t="s">
        <v>314</v>
      </c>
      <c r="V11" s="43" t="s">
        <v>213</v>
      </c>
      <c r="W11" s="40">
        <v>45831</v>
      </c>
      <c r="X11" s="43" t="s">
        <v>213</v>
      </c>
      <c r="Y11" s="40">
        <v>45831</v>
      </c>
    </row>
    <row r="12" spans="1:25" ht="18">
      <c r="A12" s="38"/>
      <c r="B12" s="30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ht="18">
      <c r="A13" s="38"/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</row>
    <row r="14" spans="1:25" ht="18">
      <c r="A14" s="38"/>
      <c r="B14" s="30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</row>
    <row r="15" spans="1:25" ht="18">
      <c r="A15" s="38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</row>
    <row r="16" spans="1:25" ht="18">
      <c r="A16" s="38"/>
      <c r="B16" s="30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</row>
  </sheetData>
  <phoneticPr fontId="5"/>
  <hyperlinks>
    <hyperlink ref="V11" r:id="rId1" xr:uid="{1E619B74-C137-4332-A35B-0AAEE9D5B0D2}"/>
    <hyperlink ref="X11" r:id="rId2" xr:uid="{69B318DE-DFDC-4851-98C9-C37E3D274AF3}"/>
  </hyperlinks>
  <pageMargins left="0.7" right="0.7" top="0.75" bottom="0.75" header="0.3" footer="0.3"/>
  <drawing r:id="rId3"/>
  <legacy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3A65-887E-4A96-868E-B3DC1FF7F807}">
  <sheetPr codeName="Sheet14"/>
  <dimension ref="A4:P16"/>
  <sheetViews>
    <sheetView zoomScale="70" zoomScaleNormal="70" workbookViewId="0">
      <selection activeCell="G34" sqref="G34"/>
    </sheetView>
  </sheetViews>
  <sheetFormatPr defaultRowHeight="18"/>
  <cols>
    <col min="1" max="1" width="21.125" customWidth="1"/>
    <col min="2" max="2" width="19.875" customWidth="1"/>
    <col min="3" max="3" width="18.75" customWidth="1"/>
    <col min="4" max="4" width="17.375" customWidth="1"/>
    <col min="5" max="5" width="14.5" bestFit="1" customWidth="1"/>
    <col min="6" max="6" width="14.125" bestFit="1" customWidth="1"/>
    <col min="7" max="7" width="16" bestFit="1" customWidth="1"/>
    <col min="8" max="8" width="8.875" bestFit="1" customWidth="1"/>
    <col min="9" max="9" width="12.25" bestFit="1" customWidth="1"/>
    <col min="10" max="10" width="10.375" bestFit="1" customWidth="1"/>
    <col min="11" max="11" width="13.75" bestFit="1" customWidth="1"/>
    <col min="13" max="13" width="13.75" bestFit="1" customWidth="1"/>
    <col min="16" max="16" width="6.5" customWidth="1"/>
    <col min="17" max="17" width="11.5" bestFit="1" customWidth="1"/>
    <col min="18" max="18" width="25" customWidth="1"/>
    <col min="19" max="19" width="11.375" bestFit="1" customWidth="1"/>
    <col min="20" max="20" width="27.75" customWidth="1"/>
    <col min="21" max="21" width="10.375" bestFit="1" customWidth="1"/>
    <col min="22" max="23" width="13.75" bestFit="1" customWidth="1"/>
    <col min="25" max="25" width="13.75" bestFit="1" customWidth="1"/>
  </cols>
  <sheetData>
    <row r="4" spans="1:16" ht="22.5">
      <c r="A4" s="20" t="s">
        <v>315</v>
      </c>
    </row>
    <row r="5" spans="1:16">
      <c r="A5" t="s">
        <v>184</v>
      </c>
    </row>
    <row r="6" spans="1:16">
      <c r="A6" t="s">
        <v>316</v>
      </c>
    </row>
    <row r="7" spans="1:16">
      <c r="A7" t="s">
        <v>317</v>
      </c>
    </row>
    <row r="9" spans="1:16">
      <c r="A9" s="15" t="s">
        <v>186</v>
      </c>
      <c r="B9" s="15" t="s">
        <v>318</v>
      </c>
      <c r="C9" s="15" t="s">
        <v>319</v>
      </c>
      <c r="D9" s="15" t="s">
        <v>187</v>
      </c>
      <c r="E9" s="15" t="s">
        <v>320</v>
      </c>
      <c r="F9" s="15" t="s">
        <v>321</v>
      </c>
      <c r="G9" s="15" t="s">
        <v>322</v>
      </c>
      <c r="H9" s="15" t="s">
        <v>323</v>
      </c>
      <c r="I9" s="15" t="s">
        <v>324</v>
      </c>
      <c r="J9" s="15" t="s">
        <v>41</v>
      </c>
      <c r="K9" s="15" t="s">
        <v>195</v>
      </c>
      <c r="L9" s="15" t="s">
        <v>196</v>
      </c>
      <c r="M9" s="15" t="s">
        <v>197</v>
      </c>
      <c r="N9" s="15" t="s">
        <v>198</v>
      </c>
      <c r="O9" s="15" t="s">
        <v>199</v>
      </c>
      <c r="P9" s="15" t="s">
        <v>200</v>
      </c>
    </row>
    <row r="10" spans="1:16" ht="18.600000000000001" thickBot="1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</row>
    <row r="11" spans="1:16" ht="18.600000000000001" thickTop="1">
      <c r="A11" s="17" t="s">
        <v>325</v>
      </c>
      <c r="B11" s="31" t="s">
        <v>326</v>
      </c>
      <c r="C11" s="31" t="s">
        <v>327</v>
      </c>
      <c r="D11" s="31">
        <v>2</v>
      </c>
      <c r="E11" s="31">
        <v>0</v>
      </c>
      <c r="F11" s="31">
        <v>0</v>
      </c>
      <c r="G11" s="31">
        <v>0</v>
      </c>
      <c r="H11" s="31">
        <v>1</v>
      </c>
      <c r="I11" s="31"/>
      <c r="J11" s="31"/>
      <c r="K11" s="31">
        <v>0</v>
      </c>
      <c r="L11" s="31">
        <v>0</v>
      </c>
      <c r="M11" s="37" t="s">
        <v>94</v>
      </c>
      <c r="N11" s="31"/>
      <c r="O11" s="37" t="s">
        <v>94</v>
      </c>
      <c r="P11" s="31"/>
    </row>
    <row r="12" spans="1:16">
      <c r="A12" s="17"/>
      <c r="B12" s="30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</row>
    <row r="13" spans="1:16">
      <c r="A13" s="17"/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</row>
    <row r="14" spans="1:16">
      <c r="A14" s="17"/>
      <c r="B14" s="30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</row>
    <row r="15" spans="1:16">
      <c r="A15" s="17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</row>
    <row r="16" spans="1:16">
      <c r="A16" s="17"/>
      <c r="B16" s="30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</row>
  </sheetData>
  <phoneticPr fontId="5"/>
  <hyperlinks>
    <hyperlink ref="M11" r:id="rId1" display="aaa@email.com" xr:uid="{17CC1A88-B83D-4EDE-A4F9-3E56E62BB5F0}"/>
    <hyperlink ref="O11" r:id="rId2" display="aaa@email.com" xr:uid="{E92EF5EC-A49B-4999-A258-71B57625131D}"/>
  </hyperlinks>
  <pageMargins left="0.7" right="0.7" top="0.75" bottom="0.75" header="0.3" footer="0.3"/>
  <drawing r:id="rId3"/>
  <legacyDrawing r:id="rId4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F4186-2E79-4687-8CCA-4726E211F345}">
  <sheetPr codeName="Sheet15"/>
  <dimension ref="A4:W16"/>
  <sheetViews>
    <sheetView zoomScale="70" zoomScaleNormal="70" workbookViewId="0">
      <selection activeCell="C11" sqref="C11"/>
    </sheetView>
  </sheetViews>
  <sheetFormatPr defaultRowHeight="18"/>
  <cols>
    <col min="1" max="1" width="21.125" customWidth="1"/>
    <col min="2" max="2" width="19.875" customWidth="1"/>
    <col min="3" max="3" width="18.75" customWidth="1"/>
    <col min="4" max="4" width="17.375" customWidth="1"/>
    <col min="5" max="5" width="14.5" bestFit="1" customWidth="1"/>
    <col min="6" max="6" width="14.125" bestFit="1" customWidth="1"/>
    <col min="7" max="7" width="16" bestFit="1" customWidth="1"/>
    <col min="8" max="8" width="8.875" bestFit="1" customWidth="1"/>
    <col min="9" max="9" width="12.25" bestFit="1" customWidth="1"/>
    <col min="10" max="10" width="10.375" bestFit="1" customWidth="1"/>
    <col min="11" max="11" width="13.75" bestFit="1" customWidth="1"/>
    <col min="13" max="13" width="13.75" bestFit="1" customWidth="1"/>
    <col min="16" max="16" width="6.5" customWidth="1"/>
    <col min="17" max="17" width="11.5" bestFit="1" customWidth="1"/>
    <col min="18" max="18" width="25" customWidth="1"/>
    <col min="19" max="19" width="11.375" bestFit="1" customWidth="1"/>
    <col min="20" max="20" width="27.75" customWidth="1"/>
    <col min="21" max="21" width="10.375" bestFit="1" customWidth="1"/>
    <col min="22" max="23" width="13.75" bestFit="1" customWidth="1"/>
    <col min="25" max="25" width="13.75" bestFit="1" customWidth="1"/>
  </cols>
  <sheetData>
    <row r="4" spans="1:23" ht="22.5">
      <c r="A4" s="20" t="s">
        <v>328</v>
      </c>
    </row>
    <row r="5" spans="1:23">
      <c r="A5" t="s">
        <v>184</v>
      </c>
    </row>
    <row r="6" spans="1:23">
      <c r="A6" t="s">
        <v>329</v>
      </c>
    </row>
    <row r="9" spans="1:23">
      <c r="A9" s="15" t="s">
        <v>186</v>
      </c>
      <c r="B9" s="15" t="s">
        <v>330</v>
      </c>
      <c r="C9" s="15" t="s">
        <v>331</v>
      </c>
      <c r="D9" s="15" t="s">
        <v>332</v>
      </c>
      <c r="E9" s="15" t="s">
        <v>333</v>
      </c>
      <c r="F9" s="15" t="s">
        <v>189</v>
      </c>
      <c r="G9" s="15" t="s">
        <v>334</v>
      </c>
      <c r="H9" s="15" t="s">
        <v>335</v>
      </c>
      <c r="I9" s="15" t="s">
        <v>336</v>
      </c>
      <c r="J9" s="15" t="s">
        <v>337</v>
      </c>
      <c r="K9" s="15" t="s">
        <v>338</v>
      </c>
      <c r="L9" s="15" t="s">
        <v>339</v>
      </c>
      <c r="M9" s="15" t="s">
        <v>340</v>
      </c>
      <c r="N9" s="15" t="s">
        <v>341</v>
      </c>
      <c r="O9" s="15" t="s">
        <v>191</v>
      </c>
      <c r="P9" s="15" t="s">
        <v>192</v>
      </c>
      <c r="Q9" s="15" t="s">
        <v>342</v>
      </c>
      <c r="R9" s="15" t="s">
        <v>195</v>
      </c>
      <c r="S9" s="15" t="s">
        <v>196</v>
      </c>
      <c r="T9" s="15" t="s">
        <v>197</v>
      </c>
      <c r="U9" s="15" t="s">
        <v>198</v>
      </c>
      <c r="V9" s="15" t="s">
        <v>199</v>
      </c>
      <c r="W9" s="15" t="s">
        <v>200</v>
      </c>
    </row>
    <row r="10" spans="1:23" ht="18.600000000000001" thickBot="1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</row>
    <row r="11" spans="1:23" ht="18.600000000000001" thickTop="1">
      <c r="A11" s="17" t="s">
        <v>343</v>
      </c>
      <c r="B11" s="31" t="s">
        <v>326</v>
      </c>
      <c r="C11" s="40">
        <v>45828</v>
      </c>
      <c r="D11" s="31"/>
      <c r="E11" s="31" t="s">
        <v>344</v>
      </c>
      <c r="F11" s="31"/>
      <c r="G11" s="31" t="s">
        <v>345</v>
      </c>
      <c r="H11" s="31">
        <v>1</v>
      </c>
      <c r="I11" s="31">
        <v>0</v>
      </c>
      <c r="J11" s="31">
        <v>0</v>
      </c>
      <c r="K11" s="31">
        <v>0</v>
      </c>
      <c r="L11" s="31">
        <v>0</v>
      </c>
      <c r="M11" s="31">
        <v>0</v>
      </c>
      <c r="N11" s="31">
        <v>0</v>
      </c>
      <c r="O11" s="31"/>
      <c r="P11" s="31"/>
      <c r="Q11" s="31"/>
      <c r="R11" s="31">
        <v>0</v>
      </c>
      <c r="S11" s="31">
        <v>0</v>
      </c>
      <c r="T11" s="37" t="s">
        <v>94</v>
      </c>
      <c r="U11" s="31"/>
      <c r="V11" s="37" t="s">
        <v>94</v>
      </c>
      <c r="W11" s="31"/>
    </row>
    <row r="12" spans="1:23">
      <c r="A12" s="17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</row>
    <row r="13" spans="1:23">
      <c r="A13" s="17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</row>
    <row r="14" spans="1:23">
      <c r="A14" s="17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</row>
    <row r="15" spans="1:23">
      <c r="A15" s="17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</row>
    <row r="16" spans="1:23">
      <c r="A16" s="17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</row>
  </sheetData>
  <phoneticPr fontId="5"/>
  <hyperlinks>
    <hyperlink ref="T11" r:id="rId1" display="aaa@email.com" xr:uid="{4CF3298E-7557-44D5-BEC6-59023E6C96A3}"/>
    <hyperlink ref="V11" r:id="rId2" display="aaa@email.com" xr:uid="{B494E71B-0DD0-4DF0-BE1B-B295294B651D}"/>
  </hyperlinks>
  <pageMargins left="0.7" right="0.7" top="0.75" bottom="0.75" header="0.3" footer="0.3"/>
  <drawing r:id="rId3"/>
  <legacyDrawing r:id="rId4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C80C6-11B1-437F-88E2-6822D9DA500C}">
  <sheetPr codeName="Sheet16"/>
  <dimension ref="A4:I16"/>
  <sheetViews>
    <sheetView zoomScale="70" zoomScaleNormal="70" workbookViewId="0">
      <selection activeCell="A6" sqref="A6:A7"/>
    </sheetView>
  </sheetViews>
  <sheetFormatPr defaultRowHeight="18"/>
  <cols>
    <col min="1" max="1" width="21.125" customWidth="1"/>
    <col min="2" max="2" width="19.875" customWidth="1"/>
    <col min="3" max="3" width="18.75" customWidth="1"/>
    <col min="4" max="4" width="17.375" customWidth="1"/>
    <col min="5" max="5" width="14.5" bestFit="1" customWidth="1"/>
    <col min="6" max="6" width="14.125" bestFit="1" customWidth="1"/>
    <col min="7" max="7" width="16" bestFit="1" customWidth="1"/>
    <col min="8" max="8" width="8.875" bestFit="1" customWidth="1"/>
    <col min="9" max="9" width="12.25" bestFit="1" customWidth="1"/>
    <col min="10" max="10" width="10.375" bestFit="1" customWidth="1"/>
    <col min="11" max="11" width="13.75" bestFit="1" customWidth="1"/>
    <col min="13" max="13" width="13.75" bestFit="1" customWidth="1"/>
    <col min="16" max="16" width="6.5" customWidth="1"/>
    <col min="17" max="17" width="11.5" bestFit="1" customWidth="1"/>
    <col min="18" max="18" width="25" customWidth="1"/>
    <col min="19" max="19" width="11.375" bestFit="1" customWidth="1"/>
    <col min="20" max="20" width="27.75" customWidth="1"/>
    <col min="21" max="21" width="10.375" bestFit="1" customWidth="1"/>
    <col min="22" max="23" width="13.75" bestFit="1" customWidth="1"/>
    <col min="25" max="25" width="13.75" bestFit="1" customWidth="1"/>
  </cols>
  <sheetData>
    <row r="4" spans="1:9" ht="22.5">
      <c r="A4" s="20" t="s">
        <v>346</v>
      </c>
    </row>
    <row r="5" spans="1:9">
      <c r="A5" t="s">
        <v>184</v>
      </c>
    </row>
    <row r="6" spans="1:9">
      <c r="A6" t="s">
        <v>289</v>
      </c>
    </row>
    <row r="7" spans="1:9">
      <c r="A7" t="s">
        <v>347</v>
      </c>
    </row>
    <row r="9" spans="1:9">
      <c r="A9" s="15" t="s">
        <v>186</v>
      </c>
      <c r="B9" s="15" t="s">
        <v>348</v>
      </c>
      <c r="C9" s="15" t="s">
        <v>187</v>
      </c>
      <c r="D9" s="15" t="s">
        <v>195</v>
      </c>
      <c r="E9" s="15" t="s">
        <v>196</v>
      </c>
      <c r="F9" s="15" t="s">
        <v>197</v>
      </c>
      <c r="G9" s="15" t="s">
        <v>198</v>
      </c>
      <c r="H9" s="15" t="s">
        <v>199</v>
      </c>
      <c r="I9" s="15" t="s">
        <v>200</v>
      </c>
    </row>
    <row r="10" spans="1:9" ht="18.600000000000001" thickBot="1">
      <c r="A10" s="16"/>
      <c r="B10" s="16"/>
      <c r="C10" s="16"/>
      <c r="D10" s="16"/>
      <c r="E10" s="16"/>
      <c r="F10" s="16"/>
      <c r="G10" s="16"/>
      <c r="H10" s="16"/>
      <c r="I10" s="16"/>
    </row>
    <row r="11" spans="1:9" ht="18.600000000000001" thickTop="1">
      <c r="A11" s="38"/>
      <c r="B11" s="17" t="s">
        <v>343</v>
      </c>
      <c r="C11" s="31">
        <v>1</v>
      </c>
      <c r="D11" s="31">
        <v>0</v>
      </c>
      <c r="E11" s="31">
        <v>0</v>
      </c>
      <c r="F11" s="37" t="s">
        <v>94</v>
      </c>
      <c r="G11" s="31"/>
      <c r="H11" s="37" t="s">
        <v>94</v>
      </c>
      <c r="I11" s="31"/>
    </row>
    <row r="12" spans="1:9">
      <c r="A12" s="38"/>
      <c r="B12" s="17" t="s">
        <v>343</v>
      </c>
      <c r="C12" s="31">
        <v>2</v>
      </c>
      <c r="D12" s="31">
        <v>0</v>
      </c>
      <c r="E12" s="31">
        <v>0</v>
      </c>
      <c r="F12" s="37" t="s">
        <v>94</v>
      </c>
      <c r="G12" s="31"/>
      <c r="H12" s="37" t="s">
        <v>94</v>
      </c>
      <c r="I12" s="31"/>
    </row>
    <row r="13" spans="1:9">
      <c r="A13" s="38"/>
      <c r="B13" s="31"/>
      <c r="C13" s="31"/>
      <c r="D13" s="31"/>
      <c r="E13" s="31"/>
      <c r="F13" s="31"/>
      <c r="G13" s="31"/>
      <c r="H13" s="31"/>
      <c r="I13" s="31"/>
    </row>
    <row r="14" spans="1:9">
      <c r="A14" s="38"/>
      <c r="B14" s="31"/>
      <c r="C14" s="31"/>
      <c r="D14" s="31"/>
      <c r="E14" s="31"/>
      <c r="F14" s="31"/>
      <c r="G14" s="31"/>
      <c r="H14" s="31"/>
      <c r="I14" s="31"/>
    </row>
    <row r="15" spans="1:9">
      <c r="A15" s="38"/>
      <c r="B15" s="31"/>
      <c r="C15" s="31"/>
      <c r="D15" s="31"/>
      <c r="E15" s="31"/>
      <c r="F15" s="31"/>
      <c r="G15" s="31"/>
      <c r="H15" s="31"/>
      <c r="I15" s="31"/>
    </row>
    <row r="16" spans="1:9">
      <c r="A16" s="38"/>
      <c r="B16" s="31"/>
      <c r="C16" s="31"/>
      <c r="D16" s="31"/>
      <c r="E16" s="31"/>
      <c r="F16" s="31"/>
      <c r="G16" s="31"/>
      <c r="H16" s="31"/>
      <c r="I16" s="31"/>
    </row>
  </sheetData>
  <phoneticPr fontId="5"/>
  <hyperlinks>
    <hyperlink ref="F11:F12" r:id="rId1" display="aaa@email.com" xr:uid="{96381649-3944-4443-8A7E-18A816F08210}"/>
    <hyperlink ref="H11:H12" r:id="rId2" display="aaa@email.com" xr:uid="{CC879C31-E539-4CDE-9539-B461CC59880E}"/>
  </hyperlinks>
  <pageMargins left="0.7" right="0.7" top="0.75" bottom="0.75" header="0.3" footer="0.3"/>
  <drawing r:id="rId3"/>
  <legacy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FBC20-AC36-467E-8969-77720D6A3F0B}">
  <sheetPr codeName="Sheet17"/>
  <dimension ref="A5:N69"/>
  <sheetViews>
    <sheetView topLeftCell="A15" zoomScale="85" zoomScaleNormal="85" workbookViewId="0">
      <selection activeCell="B33" sqref="B33"/>
    </sheetView>
  </sheetViews>
  <sheetFormatPr defaultRowHeight="18"/>
  <cols>
    <col min="1" max="1" width="21.125" customWidth="1"/>
    <col min="2" max="2" width="10.75" bestFit="1" customWidth="1"/>
    <col min="3" max="3" width="12.5" customWidth="1"/>
    <col min="4" max="4" width="17.375" customWidth="1"/>
    <col min="5" max="5" width="14.5" bestFit="1" customWidth="1"/>
    <col min="6" max="6" width="14.125" bestFit="1" customWidth="1"/>
    <col min="7" max="7" width="16" bestFit="1" customWidth="1"/>
    <col min="8" max="8" width="8.875" bestFit="1" customWidth="1"/>
    <col min="9" max="9" width="12.25" bestFit="1" customWidth="1"/>
    <col min="10" max="10" width="10.375" bestFit="1" customWidth="1"/>
    <col min="11" max="11" width="13.75" bestFit="1" customWidth="1"/>
    <col min="13" max="13" width="13.75" bestFit="1" customWidth="1"/>
    <col min="16" max="16" width="6.5" customWidth="1"/>
    <col min="17" max="17" width="11.5" bestFit="1" customWidth="1"/>
    <col min="18" max="18" width="25" customWidth="1"/>
    <col min="19" max="19" width="11.375" bestFit="1" customWidth="1"/>
    <col min="20" max="20" width="27.75" customWidth="1"/>
    <col min="21" max="21" width="10.375" bestFit="1" customWidth="1"/>
    <col min="22" max="23" width="13.75" bestFit="1" customWidth="1"/>
    <col min="25" max="25" width="13.75" bestFit="1" customWidth="1"/>
  </cols>
  <sheetData>
    <row r="5" spans="1:14" ht="22.5">
      <c r="A5" s="20" t="s">
        <v>349</v>
      </c>
    </row>
    <row r="6" spans="1:14">
      <c r="A6" t="s">
        <v>350</v>
      </c>
    </row>
    <row r="7" spans="1:14" ht="22.5">
      <c r="A7" s="20"/>
    </row>
    <row r="8" spans="1:14">
      <c r="A8" s="18"/>
      <c r="B8" s="18"/>
      <c r="C8" s="19"/>
    </row>
    <row r="9" spans="1:14">
      <c r="A9" s="15" t="s">
        <v>351</v>
      </c>
      <c r="B9" s="15" t="s">
        <v>352</v>
      </c>
      <c r="C9" s="15" t="s">
        <v>353</v>
      </c>
      <c r="D9" s="15" t="s">
        <v>354</v>
      </c>
      <c r="E9" s="15" t="s">
        <v>355</v>
      </c>
      <c r="F9" s="15" t="s">
        <v>356</v>
      </c>
      <c r="G9" s="15" t="s">
        <v>357</v>
      </c>
      <c r="H9" s="15" t="s">
        <v>358</v>
      </c>
      <c r="I9" s="15" t="s">
        <v>359</v>
      </c>
      <c r="J9" s="15" t="s">
        <v>75</v>
      </c>
      <c r="K9" s="15" t="s">
        <v>285</v>
      </c>
      <c r="L9" s="15" t="s">
        <v>78</v>
      </c>
      <c r="M9" s="15" t="s">
        <v>286</v>
      </c>
      <c r="N9" s="15" t="s">
        <v>80</v>
      </c>
    </row>
    <row r="10" spans="1:14" ht="18.600000000000001" thickBot="1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</row>
    <row r="11" spans="1:14" ht="18.600000000000001" thickTop="1">
      <c r="A11" s="17" t="s">
        <v>360</v>
      </c>
      <c r="B11" s="30" t="str">
        <f>E11&amp;F11&amp;G11&amp;H11</f>
        <v>01000000</v>
      </c>
      <c r="C11" s="31">
        <v>1</v>
      </c>
      <c r="D11" s="31" t="s">
        <v>361</v>
      </c>
      <c r="E11" s="30" t="s">
        <v>362</v>
      </c>
      <c r="F11" s="30" t="s">
        <v>363</v>
      </c>
      <c r="G11" s="30" t="s">
        <v>363</v>
      </c>
      <c r="H11" s="30" t="s">
        <v>363</v>
      </c>
      <c r="I11" s="31">
        <v>1</v>
      </c>
      <c r="J11" s="31">
        <v>0</v>
      </c>
      <c r="K11" s="37" t="s">
        <v>94</v>
      </c>
      <c r="L11" s="31"/>
      <c r="M11" s="37" t="s">
        <v>94</v>
      </c>
      <c r="N11" s="31"/>
    </row>
    <row r="12" spans="1:14">
      <c r="A12" s="17" t="s">
        <v>364</v>
      </c>
      <c r="B12" s="30" t="str">
        <f t="shared" ref="B12:B16" si="0">E12&amp;F12&amp;G12&amp;H12</f>
        <v>02000000</v>
      </c>
      <c r="C12" s="31">
        <v>1</v>
      </c>
      <c r="D12" s="31" t="s">
        <v>365</v>
      </c>
      <c r="E12" s="30" t="s">
        <v>366</v>
      </c>
      <c r="F12" s="30" t="s">
        <v>363</v>
      </c>
      <c r="G12" s="30" t="s">
        <v>363</v>
      </c>
      <c r="H12" s="30" t="s">
        <v>363</v>
      </c>
      <c r="I12" s="31">
        <v>1</v>
      </c>
      <c r="J12" s="31">
        <v>0</v>
      </c>
      <c r="K12" s="37" t="s">
        <v>94</v>
      </c>
      <c r="L12" s="31"/>
      <c r="M12" s="37" t="s">
        <v>94</v>
      </c>
      <c r="N12" s="31"/>
    </row>
    <row r="13" spans="1:14">
      <c r="A13" s="17" t="s">
        <v>120</v>
      </c>
      <c r="B13" s="30" t="str">
        <f t="shared" si="0"/>
        <v>03000000</v>
      </c>
      <c r="C13" s="31">
        <v>1</v>
      </c>
      <c r="D13" s="31" t="s">
        <v>367</v>
      </c>
      <c r="E13" s="30" t="s">
        <v>368</v>
      </c>
      <c r="F13" s="30" t="s">
        <v>363</v>
      </c>
      <c r="G13" s="30" t="s">
        <v>363</v>
      </c>
      <c r="H13" s="30" t="s">
        <v>363</v>
      </c>
      <c r="I13" s="31">
        <v>1</v>
      </c>
      <c r="J13" s="31">
        <v>0</v>
      </c>
      <c r="K13" s="37" t="s">
        <v>94</v>
      </c>
      <c r="L13" s="31"/>
      <c r="M13" s="37" t="s">
        <v>94</v>
      </c>
      <c r="N13" s="31"/>
    </row>
    <row r="14" spans="1:14">
      <c r="A14" s="17" t="s">
        <v>121</v>
      </c>
      <c r="B14" s="30" t="str">
        <f t="shared" si="0"/>
        <v>04000000</v>
      </c>
      <c r="C14" s="31">
        <v>1</v>
      </c>
      <c r="D14" s="31" t="s">
        <v>369</v>
      </c>
      <c r="E14" s="30" t="s">
        <v>370</v>
      </c>
      <c r="F14" s="30" t="s">
        <v>363</v>
      </c>
      <c r="G14" s="30" t="s">
        <v>363</v>
      </c>
      <c r="H14" s="30" t="s">
        <v>363</v>
      </c>
      <c r="I14" s="31">
        <v>1</v>
      </c>
      <c r="J14" s="31">
        <v>0</v>
      </c>
      <c r="K14" s="37" t="s">
        <v>94</v>
      </c>
      <c r="L14" s="31"/>
      <c r="M14" s="37" t="s">
        <v>94</v>
      </c>
      <c r="N14" s="31"/>
    </row>
    <row r="15" spans="1:14">
      <c r="A15" s="17" t="s">
        <v>122</v>
      </c>
      <c r="B15" s="30" t="str">
        <f t="shared" si="0"/>
        <v>05000000</v>
      </c>
      <c r="C15" s="31">
        <v>1</v>
      </c>
      <c r="D15" s="31" t="s">
        <v>371</v>
      </c>
      <c r="E15" s="30" t="s">
        <v>372</v>
      </c>
      <c r="F15" s="30" t="s">
        <v>363</v>
      </c>
      <c r="G15" s="30" t="s">
        <v>363</v>
      </c>
      <c r="H15" s="30" t="s">
        <v>363</v>
      </c>
      <c r="I15" s="31">
        <v>1</v>
      </c>
      <c r="J15" s="31">
        <v>0</v>
      </c>
      <c r="K15" s="37" t="s">
        <v>94</v>
      </c>
      <c r="L15" s="31"/>
      <c r="M15" s="37" t="s">
        <v>94</v>
      </c>
      <c r="N15" s="31"/>
    </row>
    <row r="16" spans="1:14">
      <c r="A16" s="17" t="s">
        <v>123</v>
      </c>
      <c r="B16" s="30" t="str">
        <f t="shared" si="0"/>
        <v>99000000</v>
      </c>
      <c r="C16" s="31">
        <v>1</v>
      </c>
      <c r="D16" s="31" t="s">
        <v>373</v>
      </c>
      <c r="E16" s="30" t="s">
        <v>374</v>
      </c>
      <c r="F16" s="30" t="s">
        <v>363</v>
      </c>
      <c r="G16" s="30" t="s">
        <v>363</v>
      </c>
      <c r="H16" s="30" t="s">
        <v>363</v>
      </c>
      <c r="I16" s="31">
        <v>1</v>
      </c>
      <c r="J16" s="31">
        <v>0</v>
      </c>
      <c r="K16" s="37" t="s">
        <v>94</v>
      </c>
      <c r="L16" s="31"/>
      <c r="M16" s="37" t="s">
        <v>94</v>
      </c>
      <c r="N16" s="31"/>
    </row>
    <row r="17" spans="1:14">
      <c r="A17" s="17" t="s">
        <v>124</v>
      </c>
      <c r="B17" s="30" t="str">
        <f t="shared" ref="B17" si="1">E17&amp;F17&amp;G17&amp;H17</f>
        <v>01010000</v>
      </c>
      <c r="C17" s="31">
        <v>2</v>
      </c>
      <c r="D17" s="31" t="s">
        <v>375</v>
      </c>
      <c r="E17" s="30" t="s">
        <v>362</v>
      </c>
      <c r="F17" s="30" t="s">
        <v>362</v>
      </c>
      <c r="G17" s="30" t="s">
        <v>363</v>
      </c>
      <c r="H17" s="30" t="s">
        <v>363</v>
      </c>
      <c r="I17" s="31">
        <v>1</v>
      </c>
      <c r="J17" s="31">
        <v>0</v>
      </c>
      <c r="K17" s="37" t="s">
        <v>94</v>
      </c>
      <c r="L17" s="31"/>
      <c r="M17" s="37" t="s">
        <v>94</v>
      </c>
      <c r="N17" s="31"/>
    </row>
    <row r="18" spans="1:14">
      <c r="A18" s="17" t="s">
        <v>125</v>
      </c>
      <c r="B18" s="30" t="str">
        <f t="shared" ref="B18" si="2">E18&amp;F18&amp;G18&amp;H18</f>
        <v>01020000</v>
      </c>
      <c r="C18" s="31">
        <v>2</v>
      </c>
      <c r="D18" s="31" t="s">
        <v>376</v>
      </c>
      <c r="E18" s="30" t="s">
        <v>362</v>
      </c>
      <c r="F18" s="30" t="s">
        <v>366</v>
      </c>
      <c r="G18" s="30" t="s">
        <v>363</v>
      </c>
      <c r="H18" s="30" t="s">
        <v>363</v>
      </c>
      <c r="I18" s="31">
        <v>1</v>
      </c>
      <c r="J18" s="31">
        <v>0</v>
      </c>
      <c r="K18" s="37" t="s">
        <v>94</v>
      </c>
      <c r="L18" s="31"/>
      <c r="M18" s="37" t="s">
        <v>94</v>
      </c>
      <c r="N18" s="31"/>
    </row>
    <row r="19" spans="1:14">
      <c r="A19" s="17" t="s">
        <v>126</v>
      </c>
      <c r="B19" s="30" t="str">
        <f>E19&amp;F19&amp;G19&amp;H19</f>
        <v>02010000</v>
      </c>
      <c r="C19" s="31">
        <v>2</v>
      </c>
      <c r="D19" s="31" t="s">
        <v>377</v>
      </c>
      <c r="E19" s="30" t="s">
        <v>366</v>
      </c>
      <c r="F19" s="30" t="s">
        <v>362</v>
      </c>
      <c r="G19" s="30" t="s">
        <v>363</v>
      </c>
      <c r="H19" s="30" t="s">
        <v>363</v>
      </c>
      <c r="I19" s="31">
        <v>1</v>
      </c>
      <c r="J19" s="31">
        <v>0</v>
      </c>
      <c r="K19" s="37" t="s">
        <v>94</v>
      </c>
      <c r="L19" s="31"/>
      <c r="M19" s="37" t="s">
        <v>94</v>
      </c>
      <c r="N19" s="31"/>
    </row>
    <row r="20" spans="1:14">
      <c r="A20" s="17" t="s">
        <v>127</v>
      </c>
      <c r="B20" s="30" t="str">
        <f t="shared" ref="B20:B21" si="3">E20&amp;F20&amp;G20&amp;H20</f>
        <v>02020000</v>
      </c>
      <c r="C20" s="31">
        <v>2</v>
      </c>
      <c r="D20" s="31" t="s">
        <v>378</v>
      </c>
      <c r="E20" s="30" t="s">
        <v>366</v>
      </c>
      <c r="F20" s="30" t="s">
        <v>366</v>
      </c>
      <c r="G20" s="30" t="s">
        <v>363</v>
      </c>
      <c r="H20" s="30" t="s">
        <v>363</v>
      </c>
      <c r="I20" s="31">
        <v>1</v>
      </c>
      <c r="J20" s="31">
        <v>0</v>
      </c>
      <c r="K20" s="37" t="s">
        <v>94</v>
      </c>
      <c r="L20" s="31"/>
      <c r="M20" s="37" t="s">
        <v>94</v>
      </c>
      <c r="N20" s="31"/>
    </row>
    <row r="21" spans="1:14">
      <c r="A21" s="17" t="s">
        <v>128</v>
      </c>
      <c r="B21" s="30" t="str">
        <f t="shared" si="3"/>
        <v>02030000</v>
      </c>
      <c r="C21" s="31">
        <v>2</v>
      </c>
      <c r="D21" s="31" t="s">
        <v>379</v>
      </c>
      <c r="E21" s="30" t="s">
        <v>366</v>
      </c>
      <c r="F21" s="30" t="s">
        <v>368</v>
      </c>
      <c r="G21" s="30" t="s">
        <v>363</v>
      </c>
      <c r="H21" s="30" t="s">
        <v>363</v>
      </c>
      <c r="I21" s="31">
        <v>1</v>
      </c>
      <c r="J21" s="31">
        <v>0</v>
      </c>
      <c r="K21" s="37" t="s">
        <v>94</v>
      </c>
      <c r="L21" s="31"/>
      <c r="M21" s="37" t="s">
        <v>94</v>
      </c>
      <c r="N21" s="31"/>
    </row>
    <row r="22" spans="1:14">
      <c r="A22" s="17" t="s">
        <v>129</v>
      </c>
      <c r="B22" s="30" t="str">
        <f t="shared" ref="B22" si="4">E22&amp;F22&amp;G22&amp;H22</f>
        <v>02990000</v>
      </c>
      <c r="C22" s="31">
        <v>2</v>
      </c>
      <c r="D22" s="31" t="s">
        <v>373</v>
      </c>
      <c r="E22" s="30" t="s">
        <v>366</v>
      </c>
      <c r="F22" s="30" t="s">
        <v>374</v>
      </c>
      <c r="G22" s="30" t="s">
        <v>363</v>
      </c>
      <c r="H22" s="30" t="s">
        <v>363</v>
      </c>
      <c r="I22" s="31">
        <v>1</v>
      </c>
      <c r="J22" s="31">
        <v>0</v>
      </c>
      <c r="K22" s="37" t="s">
        <v>94</v>
      </c>
      <c r="L22" s="31"/>
      <c r="M22" s="37" t="s">
        <v>94</v>
      </c>
      <c r="N22" s="31"/>
    </row>
    <row r="23" spans="1:14">
      <c r="A23" s="17" t="s">
        <v>130</v>
      </c>
      <c r="B23" s="30" t="str">
        <f t="shared" ref="B23" si="5">E23&amp;F23&amp;G23&amp;H23</f>
        <v>03010000</v>
      </c>
      <c r="C23" s="31">
        <v>2</v>
      </c>
      <c r="D23" s="31" t="s">
        <v>380</v>
      </c>
      <c r="E23" s="30" t="s">
        <v>368</v>
      </c>
      <c r="F23" s="30" t="s">
        <v>362</v>
      </c>
      <c r="G23" s="30" t="s">
        <v>363</v>
      </c>
      <c r="H23" s="30" t="s">
        <v>363</v>
      </c>
      <c r="I23" s="31">
        <v>1</v>
      </c>
      <c r="J23" s="31">
        <v>0</v>
      </c>
      <c r="K23" s="37" t="s">
        <v>94</v>
      </c>
      <c r="L23" s="31"/>
      <c r="M23" s="37" t="s">
        <v>94</v>
      </c>
      <c r="N23" s="31"/>
    </row>
    <row r="24" spans="1:14">
      <c r="A24" s="17" t="s">
        <v>131</v>
      </c>
      <c r="B24" s="30" t="str">
        <f t="shared" ref="B24" si="6">E24&amp;F24&amp;G24&amp;H24</f>
        <v>03020000</v>
      </c>
      <c r="C24" s="31">
        <v>2</v>
      </c>
      <c r="D24" s="31" t="s">
        <v>381</v>
      </c>
      <c r="E24" s="30" t="s">
        <v>368</v>
      </c>
      <c r="F24" s="30" t="s">
        <v>366</v>
      </c>
      <c r="G24" s="30" t="s">
        <v>363</v>
      </c>
      <c r="H24" s="30" t="s">
        <v>363</v>
      </c>
      <c r="I24" s="31">
        <v>1</v>
      </c>
      <c r="J24" s="31">
        <v>0</v>
      </c>
      <c r="K24" s="37" t="s">
        <v>94</v>
      </c>
      <c r="L24" s="31"/>
      <c r="M24" s="37" t="s">
        <v>94</v>
      </c>
      <c r="N24" s="31"/>
    </row>
    <row r="25" spans="1:14">
      <c r="A25" s="17" t="s">
        <v>132</v>
      </c>
      <c r="B25" s="30" t="str">
        <f t="shared" ref="B25" si="7">E25&amp;F25&amp;G25&amp;H25</f>
        <v>04010000</v>
      </c>
      <c r="C25" s="31">
        <v>2</v>
      </c>
      <c r="D25" s="31" t="s">
        <v>382</v>
      </c>
      <c r="E25" s="30" t="s">
        <v>370</v>
      </c>
      <c r="F25" s="30" t="s">
        <v>362</v>
      </c>
      <c r="G25" s="30" t="s">
        <v>363</v>
      </c>
      <c r="H25" s="30" t="s">
        <v>363</v>
      </c>
      <c r="I25" s="31">
        <v>1</v>
      </c>
      <c r="J25" s="31">
        <v>0</v>
      </c>
      <c r="K25" s="37" t="s">
        <v>94</v>
      </c>
      <c r="L25" s="31"/>
      <c r="M25" s="37" t="s">
        <v>94</v>
      </c>
      <c r="N25" s="31"/>
    </row>
    <row r="26" spans="1:14">
      <c r="A26" s="17" t="s">
        <v>133</v>
      </c>
      <c r="B26" s="30" t="str">
        <f t="shared" ref="B26" si="8">E26&amp;F26&amp;G26&amp;H26</f>
        <v>05010000</v>
      </c>
      <c r="C26" s="31">
        <v>2</v>
      </c>
      <c r="D26" s="31" t="s">
        <v>383</v>
      </c>
      <c r="E26" s="30" t="s">
        <v>372</v>
      </c>
      <c r="F26" s="30" t="s">
        <v>362</v>
      </c>
      <c r="G26" s="30" t="s">
        <v>363</v>
      </c>
      <c r="H26" s="30" t="s">
        <v>363</v>
      </c>
      <c r="I26" s="31">
        <v>1</v>
      </c>
      <c r="J26" s="31">
        <v>0</v>
      </c>
      <c r="K26" s="37" t="s">
        <v>94</v>
      </c>
      <c r="L26" s="31"/>
      <c r="M26" s="37" t="s">
        <v>94</v>
      </c>
      <c r="N26" s="31"/>
    </row>
    <row r="27" spans="1:14">
      <c r="A27" s="17" t="s">
        <v>134</v>
      </c>
      <c r="B27" s="30" t="str">
        <f t="shared" ref="B27" si="9">E27&amp;F27&amp;G27&amp;H27</f>
        <v>05020000</v>
      </c>
      <c r="C27" s="31">
        <v>2</v>
      </c>
      <c r="D27" s="31" t="s">
        <v>384</v>
      </c>
      <c r="E27" s="30" t="s">
        <v>372</v>
      </c>
      <c r="F27" s="30" t="s">
        <v>366</v>
      </c>
      <c r="G27" s="30" t="s">
        <v>363</v>
      </c>
      <c r="H27" s="30" t="s">
        <v>363</v>
      </c>
      <c r="I27" s="31">
        <v>1</v>
      </c>
      <c r="J27" s="31">
        <v>0</v>
      </c>
      <c r="K27" s="37" t="s">
        <v>94</v>
      </c>
      <c r="L27" s="31"/>
      <c r="M27" s="37" t="s">
        <v>94</v>
      </c>
      <c r="N27" s="31"/>
    </row>
    <row r="28" spans="1:14">
      <c r="A28" s="17" t="s">
        <v>135</v>
      </c>
      <c r="B28" s="30" t="str">
        <f t="shared" ref="B28:B33" si="10">E28&amp;F28&amp;G28&amp;H28</f>
        <v>05030000</v>
      </c>
      <c r="C28" s="31">
        <v>2</v>
      </c>
      <c r="D28" s="31" t="s">
        <v>385</v>
      </c>
      <c r="E28" s="30" t="s">
        <v>372</v>
      </c>
      <c r="F28" s="30" t="s">
        <v>368</v>
      </c>
      <c r="G28" s="30" t="s">
        <v>363</v>
      </c>
      <c r="H28" s="30" t="s">
        <v>363</v>
      </c>
      <c r="I28" s="31">
        <v>1</v>
      </c>
      <c r="J28" s="31">
        <v>0</v>
      </c>
      <c r="K28" s="37" t="s">
        <v>94</v>
      </c>
      <c r="L28" s="31"/>
      <c r="M28" s="37" t="s">
        <v>94</v>
      </c>
      <c r="N28" s="31"/>
    </row>
    <row r="29" spans="1:14">
      <c r="A29" s="17" t="s">
        <v>136</v>
      </c>
      <c r="B29" s="30" t="str">
        <f t="shared" si="10"/>
        <v>05990000</v>
      </c>
      <c r="C29" s="31">
        <v>2</v>
      </c>
      <c r="D29" s="31" t="s">
        <v>373</v>
      </c>
      <c r="E29" s="30" t="s">
        <v>372</v>
      </c>
      <c r="F29" s="30" t="s">
        <v>374</v>
      </c>
      <c r="G29" s="30" t="s">
        <v>363</v>
      </c>
      <c r="H29" s="30" t="s">
        <v>363</v>
      </c>
      <c r="I29" s="31">
        <v>1</v>
      </c>
      <c r="J29" s="31">
        <v>0</v>
      </c>
      <c r="K29" s="37" t="s">
        <v>94</v>
      </c>
      <c r="L29" s="31"/>
      <c r="M29" s="37" t="s">
        <v>94</v>
      </c>
      <c r="N29" s="31"/>
    </row>
    <row r="30" spans="1:14">
      <c r="A30" s="17" t="s">
        <v>137</v>
      </c>
      <c r="B30" s="30" t="str">
        <f t="shared" si="10"/>
        <v>99010000</v>
      </c>
      <c r="C30" s="31">
        <v>2</v>
      </c>
      <c r="D30" s="31" t="s">
        <v>386</v>
      </c>
      <c r="E30" s="30" t="s">
        <v>374</v>
      </c>
      <c r="F30" s="30" t="s">
        <v>362</v>
      </c>
      <c r="G30" s="30" t="s">
        <v>363</v>
      </c>
      <c r="H30" s="30" t="s">
        <v>363</v>
      </c>
      <c r="I30" s="31">
        <v>1</v>
      </c>
      <c r="J30" s="31">
        <v>0</v>
      </c>
      <c r="K30" s="37" t="s">
        <v>94</v>
      </c>
      <c r="L30" s="31"/>
      <c r="M30" s="37" t="s">
        <v>94</v>
      </c>
      <c r="N30" s="31"/>
    </row>
    <row r="31" spans="1:14">
      <c r="A31" s="17" t="s">
        <v>138</v>
      </c>
      <c r="B31" s="30" t="str">
        <f t="shared" si="10"/>
        <v>99020000</v>
      </c>
      <c r="C31" s="31">
        <v>2</v>
      </c>
      <c r="D31" s="31" t="s">
        <v>387</v>
      </c>
      <c r="E31" s="30" t="s">
        <v>374</v>
      </c>
      <c r="F31" s="30" t="s">
        <v>366</v>
      </c>
      <c r="G31" s="30" t="s">
        <v>363</v>
      </c>
      <c r="H31" s="30" t="s">
        <v>363</v>
      </c>
      <c r="I31" s="31">
        <v>1</v>
      </c>
      <c r="J31" s="31">
        <v>0</v>
      </c>
      <c r="K31" s="37" t="s">
        <v>94</v>
      </c>
      <c r="L31" s="31"/>
      <c r="M31" s="37" t="s">
        <v>94</v>
      </c>
      <c r="N31" s="31"/>
    </row>
    <row r="32" spans="1:14">
      <c r="A32" s="17" t="s">
        <v>139</v>
      </c>
      <c r="B32" s="30" t="str">
        <f t="shared" si="10"/>
        <v>99990000</v>
      </c>
      <c r="C32" s="31">
        <v>2</v>
      </c>
      <c r="D32" s="31" t="s">
        <v>373</v>
      </c>
      <c r="E32" s="30" t="s">
        <v>374</v>
      </c>
      <c r="F32" s="30" t="s">
        <v>374</v>
      </c>
      <c r="G32" s="30" t="s">
        <v>363</v>
      </c>
      <c r="H32" s="30" t="s">
        <v>363</v>
      </c>
      <c r="I32" s="31">
        <v>1</v>
      </c>
      <c r="J32" s="31">
        <v>0</v>
      </c>
      <c r="K32" s="37" t="s">
        <v>94</v>
      </c>
      <c r="L32" s="31"/>
      <c r="M32" s="37" t="s">
        <v>94</v>
      </c>
      <c r="N32" s="31"/>
    </row>
    <row r="33" spans="1:14">
      <c r="A33" s="17" t="s">
        <v>140</v>
      </c>
      <c r="B33" s="30" t="str">
        <f t="shared" si="10"/>
        <v>01010100</v>
      </c>
      <c r="C33" s="31">
        <v>3</v>
      </c>
      <c r="D33" s="31" t="s">
        <v>388</v>
      </c>
      <c r="E33" s="30" t="s">
        <v>362</v>
      </c>
      <c r="F33" s="30" t="s">
        <v>362</v>
      </c>
      <c r="G33" s="30" t="s">
        <v>362</v>
      </c>
      <c r="H33" s="30" t="s">
        <v>363</v>
      </c>
      <c r="I33" s="31">
        <v>1</v>
      </c>
      <c r="J33" s="31">
        <v>0</v>
      </c>
      <c r="K33" s="37" t="s">
        <v>94</v>
      </c>
      <c r="L33" s="31"/>
      <c r="M33" s="37" t="s">
        <v>94</v>
      </c>
      <c r="N33" s="31"/>
    </row>
    <row r="34" spans="1:14">
      <c r="A34" s="17" t="s">
        <v>141</v>
      </c>
      <c r="B34" s="30" t="str">
        <f t="shared" ref="B34:B48" si="11">E34&amp;F34&amp;G34&amp;H34</f>
        <v>01010200</v>
      </c>
      <c r="C34" s="31">
        <v>3</v>
      </c>
      <c r="D34" s="31" t="s">
        <v>389</v>
      </c>
      <c r="E34" s="30" t="s">
        <v>362</v>
      </c>
      <c r="F34" s="30" t="s">
        <v>362</v>
      </c>
      <c r="G34" s="30" t="s">
        <v>366</v>
      </c>
      <c r="H34" s="30" t="s">
        <v>363</v>
      </c>
      <c r="I34" s="31">
        <v>1</v>
      </c>
      <c r="J34" s="31">
        <v>0</v>
      </c>
      <c r="K34" s="37" t="s">
        <v>94</v>
      </c>
      <c r="L34" s="31"/>
      <c r="M34" s="37" t="s">
        <v>94</v>
      </c>
      <c r="N34" s="31"/>
    </row>
    <row r="35" spans="1:14">
      <c r="A35" s="17" t="s">
        <v>142</v>
      </c>
      <c r="B35" s="30" t="str">
        <f t="shared" si="11"/>
        <v>01020100</v>
      </c>
      <c r="C35" s="31">
        <v>3</v>
      </c>
      <c r="D35" s="31" t="s">
        <v>390</v>
      </c>
      <c r="E35" s="30" t="s">
        <v>362</v>
      </c>
      <c r="F35" s="30" t="s">
        <v>366</v>
      </c>
      <c r="G35" s="30" t="s">
        <v>362</v>
      </c>
      <c r="H35" s="30" t="s">
        <v>363</v>
      </c>
      <c r="I35" s="31">
        <v>1</v>
      </c>
      <c r="J35" s="31">
        <v>0</v>
      </c>
      <c r="K35" s="37" t="s">
        <v>94</v>
      </c>
      <c r="L35" s="31"/>
      <c r="M35" s="37" t="s">
        <v>94</v>
      </c>
      <c r="N35" s="31"/>
    </row>
    <row r="36" spans="1:14">
      <c r="A36" s="17" t="s">
        <v>143</v>
      </c>
      <c r="B36" s="30" t="str">
        <f t="shared" si="11"/>
        <v>01020200</v>
      </c>
      <c r="C36" s="31">
        <v>3</v>
      </c>
      <c r="D36" s="31" t="s">
        <v>391</v>
      </c>
      <c r="E36" s="30" t="s">
        <v>362</v>
      </c>
      <c r="F36" s="30" t="s">
        <v>366</v>
      </c>
      <c r="G36" s="30" t="s">
        <v>366</v>
      </c>
      <c r="H36" s="30" t="s">
        <v>363</v>
      </c>
      <c r="I36" s="31">
        <v>1</v>
      </c>
      <c r="J36" s="31">
        <v>0</v>
      </c>
      <c r="K36" s="37" t="s">
        <v>94</v>
      </c>
      <c r="L36" s="31"/>
      <c r="M36" s="37" t="s">
        <v>94</v>
      </c>
      <c r="N36" s="31"/>
    </row>
    <row r="37" spans="1:14">
      <c r="A37" s="17" t="s">
        <v>144</v>
      </c>
      <c r="B37" s="30" t="str">
        <f t="shared" si="11"/>
        <v>01020300</v>
      </c>
      <c r="C37" s="31">
        <v>3</v>
      </c>
      <c r="D37" s="31" t="s">
        <v>392</v>
      </c>
      <c r="E37" s="30" t="s">
        <v>362</v>
      </c>
      <c r="F37" s="30" t="s">
        <v>366</v>
      </c>
      <c r="G37" s="30" t="s">
        <v>368</v>
      </c>
      <c r="H37" s="30" t="s">
        <v>363</v>
      </c>
      <c r="I37" s="31">
        <v>1</v>
      </c>
      <c r="J37" s="31">
        <v>0</v>
      </c>
      <c r="K37" s="37" t="s">
        <v>94</v>
      </c>
      <c r="L37" s="31"/>
      <c r="M37" s="37" t="s">
        <v>94</v>
      </c>
      <c r="N37" s="31"/>
    </row>
    <row r="38" spans="1:14">
      <c r="A38" s="17" t="s">
        <v>145</v>
      </c>
      <c r="B38" s="30" t="str">
        <f t="shared" si="11"/>
        <v>01020400</v>
      </c>
      <c r="C38" s="31">
        <v>3</v>
      </c>
      <c r="D38" s="31" t="s">
        <v>393</v>
      </c>
      <c r="E38" s="30" t="s">
        <v>362</v>
      </c>
      <c r="F38" s="30" t="s">
        <v>366</v>
      </c>
      <c r="G38" s="30" t="s">
        <v>370</v>
      </c>
      <c r="H38" s="30" t="s">
        <v>363</v>
      </c>
      <c r="I38" s="31">
        <v>1</v>
      </c>
      <c r="J38" s="31">
        <v>0</v>
      </c>
      <c r="K38" s="37" t="s">
        <v>94</v>
      </c>
      <c r="L38" s="31"/>
      <c r="M38" s="37" t="s">
        <v>94</v>
      </c>
      <c r="N38" s="31"/>
    </row>
    <row r="39" spans="1:14">
      <c r="A39" s="17" t="s">
        <v>146</v>
      </c>
      <c r="B39" s="30" t="str">
        <f t="shared" si="11"/>
        <v>01020500</v>
      </c>
      <c r="C39" s="31">
        <v>3</v>
      </c>
      <c r="D39" s="31" t="s">
        <v>394</v>
      </c>
      <c r="E39" s="30" t="s">
        <v>362</v>
      </c>
      <c r="F39" s="30" t="s">
        <v>366</v>
      </c>
      <c r="G39" s="30" t="s">
        <v>372</v>
      </c>
      <c r="H39" s="30" t="s">
        <v>363</v>
      </c>
      <c r="I39" s="31">
        <v>1</v>
      </c>
      <c r="J39" s="31">
        <v>0</v>
      </c>
      <c r="K39" s="37" t="s">
        <v>94</v>
      </c>
      <c r="L39" s="31"/>
      <c r="M39" s="37" t="s">
        <v>94</v>
      </c>
      <c r="N39" s="31"/>
    </row>
    <row r="40" spans="1:14">
      <c r="A40" s="17" t="s">
        <v>147</v>
      </c>
      <c r="B40" s="30" t="str">
        <f t="shared" si="11"/>
        <v>01020600</v>
      </c>
      <c r="C40" s="31">
        <v>3</v>
      </c>
      <c r="D40" s="31" t="s">
        <v>395</v>
      </c>
      <c r="E40" s="30" t="s">
        <v>362</v>
      </c>
      <c r="F40" s="30" t="s">
        <v>366</v>
      </c>
      <c r="G40" s="30" t="s">
        <v>396</v>
      </c>
      <c r="H40" s="30" t="s">
        <v>363</v>
      </c>
      <c r="I40" s="31">
        <v>1</v>
      </c>
      <c r="J40" s="31">
        <v>0</v>
      </c>
      <c r="K40" s="37" t="s">
        <v>94</v>
      </c>
      <c r="L40" s="31"/>
      <c r="M40" s="37" t="s">
        <v>94</v>
      </c>
      <c r="N40" s="31"/>
    </row>
    <row r="41" spans="1:14">
      <c r="A41" s="17" t="s">
        <v>148</v>
      </c>
      <c r="B41" s="30" t="str">
        <f t="shared" si="11"/>
        <v>01029900</v>
      </c>
      <c r="C41" s="31">
        <v>3</v>
      </c>
      <c r="D41" s="31" t="s">
        <v>373</v>
      </c>
      <c r="E41" s="30" t="s">
        <v>362</v>
      </c>
      <c r="F41" s="30" t="s">
        <v>366</v>
      </c>
      <c r="G41" s="30" t="s">
        <v>374</v>
      </c>
      <c r="H41" s="30" t="s">
        <v>363</v>
      </c>
      <c r="I41" s="31">
        <v>1</v>
      </c>
      <c r="J41" s="31">
        <v>0</v>
      </c>
      <c r="K41" s="37" t="s">
        <v>94</v>
      </c>
      <c r="L41" s="31"/>
      <c r="M41" s="37" t="s">
        <v>94</v>
      </c>
      <c r="N41" s="31"/>
    </row>
    <row r="42" spans="1:14">
      <c r="A42" s="17" t="s">
        <v>149</v>
      </c>
      <c r="B42" s="30" t="str">
        <f t="shared" si="11"/>
        <v>02010100</v>
      </c>
      <c r="C42" s="31">
        <v>3</v>
      </c>
      <c r="D42" s="31" t="s">
        <v>397</v>
      </c>
      <c r="E42" s="30" t="s">
        <v>366</v>
      </c>
      <c r="F42" s="30" t="s">
        <v>362</v>
      </c>
      <c r="G42" s="30" t="s">
        <v>362</v>
      </c>
      <c r="H42" s="30" t="s">
        <v>363</v>
      </c>
      <c r="I42" s="31">
        <v>1</v>
      </c>
      <c r="J42" s="31">
        <v>0</v>
      </c>
      <c r="K42" s="37" t="s">
        <v>94</v>
      </c>
      <c r="L42" s="31"/>
      <c r="M42" s="37" t="s">
        <v>94</v>
      </c>
      <c r="N42" s="31"/>
    </row>
    <row r="43" spans="1:14">
      <c r="A43" s="17" t="s">
        <v>150</v>
      </c>
      <c r="B43" s="30" t="str">
        <f t="shared" si="11"/>
        <v>02020100</v>
      </c>
      <c r="C43" s="31">
        <v>3</v>
      </c>
      <c r="D43" s="31" t="s">
        <v>398</v>
      </c>
      <c r="E43" s="30" t="s">
        <v>366</v>
      </c>
      <c r="F43" s="30" t="s">
        <v>366</v>
      </c>
      <c r="G43" s="30" t="s">
        <v>362</v>
      </c>
      <c r="H43" s="30" t="s">
        <v>363</v>
      </c>
      <c r="I43" s="31">
        <v>1</v>
      </c>
      <c r="J43" s="31">
        <v>0</v>
      </c>
      <c r="K43" s="37" t="s">
        <v>94</v>
      </c>
      <c r="L43" s="31"/>
      <c r="M43" s="37" t="s">
        <v>94</v>
      </c>
      <c r="N43" s="31"/>
    </row>
    <row r="44" spans="1:14">
      <c r="A44" s="17" t="s">
        <v>151</v>
      </c>
      <c r="B44" s="30" t="str">
        <f t="shared" si="11"/>
        <v>02020200</v>
      </c>
      <c r="C44" s="31">
        <v>3</v>
      </c>
      <c r="D44" s="31" t="s">
        <v>399</v>
      </c>
      <c r="E44" s="30" t="s">
        <v>366</v>
      </c>
      <c r="F44" s="30" t="s">
        <v>366</v>
      </c>
      <c r="G44" s="30" t="s">
        <v>366</v>
      </c>
      <c r="H44" s="30" t="s">
        <v>363</v>
      </c>
      <c r="I44" s="31">
        <v>1</v>
      </c>
      <c r="J44" s="31">
        <v>0</v>
      </c>
      <c r="K44" s="37" t="s">
        <v>94</v>
      </c>
      <c r="L44" s="31"/>
      <c r="M44" s="37" t="s">
        <v>94</v>
      </c>
      <c r="N44" s="31"/>
    </row>
    <row r="45" spans="1:14">
      <c r="A45" s="17" t="s">
        <v>152</v>
      </c>
      <c r="B45" s="30" t="str">
        <f t="shared" si="11"/>
        <v>02020300</v>
      </c>
      <c r="C45" s="31">
        <v>3</v>
      </c>
      <c r="D45" s="31" t="s">
        <v>373</v>
      </c>
      <c r="E45" s="30" t="s">
        <v>366</v>
      </c>
      <c r="F45" s="30" t="s">
        <v>366</v>
      </c>
      <c r="G45" s="30" t="s">
        <v>368</v>
      </c>
      <c r="H45" s="30" t="s">
        <v>363</v>
      </c>
      <c r="I45" s="31">
        <v>1</v>
      </c>
      <c r="J45" s="31">
        <v>0</v>
      </c>
      <c r="K45" s="37" t="s">
        <v>94</v>
      </c>
      <c r="L45" s="31"/>
      <c r="M45" s="37" t="s">
        <v>94</v>
      </c>
      <c r="N45" s="31"/>
    </row>
    <row r="46" spans="1:14">
      <c r="A46" s="17" t="s">
        <v>153</v>
      </c>
      <c r="B46" s="30" t="str">
        <f t="shared" si="11"/>
        <v>02030100</v>
      </c>
      <c r="C46" s="31">
        <v>3</v>
      </c>
      <c r="D46" s="31" t="s">
        <v>400</v>
      </c>
      <c r="E46" s="30" t="s">
        <v>366</v>
      </c>
      <c r="F46" s="30" t="s">
        <v>368</v>
      </c>
      <c r="G46" s="30" t="s">
        <v>362</v>
      </c>
      <c r="H46" s="30" t="s">
        <v>363</v>
      </c>
      <c r="I46" s="31">
        <v>1</v>
      </c>
      <c r="J46" s="31">
        <v>0</v>
      </c>
      <c r="K46" s="37" t="s">
        <v>94</v>
      </c>
      <c r="L46" s="31"/>
      <c r="M46" s="37" t="s">
        <v>94</v>
      </c>
      <c r="N46" s="31"/>
    </row>
    <row r="47" spans="1:14">
      <c r="A47" s="17" t="s">
        <v>154</v>
      </c>
      <c r="B47" s="30" t="str">
        <f t="shared" si="11"/>
        <v>02030200</v>
      </c>
      <c r="C47" s="31">
        <v>3</v>
      </c>
      <c r="D47" s="31" t="s">
        <v>401</v>
      </c>
      <c r="E47" s="30" t="s">
        <v>366</v>
      </c>
      <c r="F47" s="30" t="s">
        <v>368</v>
      </c>
      <c r="G47" s="30" t="s">
        <v>366</v>
      </c>
      <c r="H47" s="30" t="s">
        <v>363</v>
      </c>
      <c r="I47" s="31">
        <v>1</v>
      </c>
      <c r="J47" s="31">
        <v>0</v>
      </c>
      <c r="K47" s="37" t="s">
        <v>94</v>
      </c>
      <c r="L47" s="31"/>
      <c r="M47" s="37" t="s">
        <v>94</v>
      </c>
      <c r="N47" s="31"/>
    </row>
    <row r="48" spans="1:14">
      <c r="A48" s="17" t="s">
        <v>155</v>
      </c>
      <c r="B48" s="30" t="str">
        <f t="shared" si="11"/>
        <v>02030300</v>
      </c>
      <c r="C48" s="31">
        <v>3</v>
      </c>
      <c r="D48" s="31" t="s">
        <v>402</v>
      </c>
      <c r="E48" s="30" t="s">
        <v>366</v>
      </c>
      <c r="F48" s="30" t="s">
        <v>368</v>
      </c>
      <c r="G48" s="30" t="s">
        <v>368</v>
      </c>
      <c r="H48" s="30" t="s">
        <v>363</v>
      </c>
      <c r="I48" s="31">
        <v>1</v>
      </c>
      <c r="J48" s="31">
        <v>0</v>
      </c>
      <c r="K48" s="37" t="s">
        <v>94</v>
      </c>
      <c r="L48" s="31"/>
      <c r="M48" s="37" t="s">
        <v>94</v>
      </c>
      <c r="N48" s="31"/>
    </row>
    <row r="49" spans="1:14">
      <c r="A49" s="17" t="s">
        <v>156</v>
      </c>
      <c r="B49" s="30" t="str">
        <f t="shared" ref="B49:B62" si="12">E49&amp;F49&amp;G49&amp;H49</f>
        <v>02030400</v>
      </c>
      <c r="C49" s="31">
        <v>3</v>
      </c>
      <c r="D49" s="31" t="s">
        <v>403</v>
      </c>
      <c r="E49" s="30" t="s">
        <v>366</v>
      </c>
      <c r="F49" s="30" t="s">
        <v>368</v>
      </c>
      <c r="G49" s="30" t="s">
        <v>370</v>
      </c>
      <c r="H49" s="30" t="s">
        <v>363</v>
      </c>
      <c r="I49" s="31">
        <v>1</v>
      </c>
      <c r="J49" s="31">
        <v>0</v>
      </c>
      <c r="K49" s="37" t="s">
        <v>94</v>
      </c>
      <c r="L49" s="31"/>
      <c r="M49" s="37" t="s">
        <v>94</v>
      </c>
      <c r="N49" s="31"/>
    </row>
    <row r="50" spans="1:14">
      <c r="A50" s="17" t="s">
        <v>157</v>
      </c>
      <c r="B50" s="30" t="str">
        <f t="shared" si="12"/>
        <v>02039900</v>
      </c>
      <c r="C50" s="31">
        <v>3</v>
      </c>
      <c r="D50" s="31" t="s">
        <v>373</v>
      </c>
      <c r="E50" s="30" t="s">
        <v>366</v>
      </c>
      <c r="F50" s="30" t="s">
        <v>368</v>
      </c>
      <c r="G50" s="30" t="s">
        <v>374</v>
      </c>
      <c r="H50" s="30" t="s">
        <v>363</v>
      </c>
      <c r="I50" s="31">
        <v>1</v>
      </c>
      <c r="J50" s="31">
        <v>0</v>
      </c>
      <c r="K50" s="37" t="s">
        <v>94</v>
      </c>
      <c r="L50" s="31"/>
      <c r="M50" s="37" t="s">
        <v>94</v>
      </c>
      <c r="N50" s="31"/>
    </row>
    <row r="51" spans="1:14">
      <c r="A51" s="17" t="s">
        <v>158</v>
      </c>
      <c r="B51" s="30" t="str">
        <f t="shared" si="12"/>
        <v>03010100</v>
      </c>
      <c r="C51" s="31">
        <v>3</v>
      </c>
      <c r="D51" s="31" t="s">
        <v>404</v>
      </c>
      <c r="E51" s="30" t="s">
        <v>368</v>
      </c>
      <c r="F51" s="30" t="s">
        <v>362</v>
      </c>
      <c r="G51" s="30" t="s">
        <v>362</v>
      </c>
      <c r="H51" s="30" t="s">
        <v>363</v>
      </c>
      <c r="I51" s="31">
        <v>1</v>
      </c>
      <c r="J51" s="31">
        <v>0</v>
      </c>
      <c r="K51" s="37" t="s">
        <v>94</v>
      </c>
      <c r="L51" s="31"/>
      <c r="M51" s="37" t="s">
        <v>94</v>
      </c>
      <c r="N51" s="31"/>
    </row>
    <row r="52" spans="1:14">
      <c r="A52" s="17" t="s">
        <v>159</v>
      </c>
      <c r="B52" s="30" t="str">
        <f t="shared" si="12"/>
        <v>03010200</v>
      </c>
      <c r="C52" s="31">
        <v>3</v>
      </c>
      <c r="D52" s="31" t="s">
        <v>405</v>
      </c>
      <c r="E52" s="30" t="s">
        <v>368</v>
      </c>
      <c r="F52" s="30" t="s">
        <v>362</v>
      </c>
      <c r="G52" s="30" t="s">
        <v>366</v>
      </c>
      <c r="H52" s="30" t="s">
        <v>363</v>
      </c>
      <c r="I52" s="31">
        <v>1</v>
      </c>
      <c r="J52" s="31">
        <v>0</v>
      </c>
      <c r="K52" s="37" t="s">
        <v>94</v>
      </c>
      <c r="L52" s="31"/>
      <c r="M52" s="37" t="s">
        <v>94</v>
      </c>
      <c r="N52" s="31"/>
    </row>
    <row r="53" spans="1:14">
      <c r="A53" s="17" t="s">
        <v>160</v>
      </c>
      <c r="B53" s="30" t="str">
        <f t="shared" si="12"/>
        <v>03020100</v>
      </c>
      <c r="C53" s="31">
        <v>3</v>
      </c>
      <c r="D53" s="31" t="s">
        <v>404</v>
      </c>
      <c r="E53" s="30" t="s">
        <v>368</v>
      </c>
      <c r="F53" s="30" t="s">
        <v>366</v>
      </c>
      <c r="G53" s="30" t="s">
        <v>362</v>
      </c>
      <c r="H53" s="30" t="s">
        <v>363</v>
      </c>
      <c r="I53" s="31">
        <v>1</v>
      </c>
      <c r="J53" s="31">
        <v>0</v>
      </c>
      <c r="K53" s="37" t="s">
        <v>94</v>
      </c>
      <c r="L53" s="31"/>
      <c r="M53" s="37" t="s">
        <v>94</v>
      </c>
      <c r="N53" s="31"/>
    </row>
    <row r="54" spans="1:14">
      <c r="A54" s="17" t="s">
        <v>161</v>
      </c>
      <c r="B54" s="30" t="str">
        <f t="shared" si="12"/>
        <v>03020200</v>
      </c>
      <c r="C54" s="31">
        <v>3</v>
      </c>
      <c r="D54" s="31" t="s">
        <v>406</v>
      </c>
      <c r="E54" s="30" t="s">
        <v>368</v>
      </c>
      <c r="F54" s="30" t="s">
        <v>366</v>
      </c>
      <c r="G54" s="30" t="s">
        <v>366</v>
      </c>
      <c r="H54" s="30" t="s">
        <v>363</v>
      </c>
      <c r="I54" s="31">
        <v>1</v>
      </c>
      <c r="J54" s="31">
        <v>0</v>
      </c>
      <c r="K54" s="37" t="s">
        <v>94</v>
      </c>
      <c r="L54" s="31"/>
      <c r="M54" s="37" t="s">
        <v>94</v>
      </c>
      <c r="N54" s="31"/>
    </row>
    <row r="55" spans="1:14">
      <c r="A55" s="17" t="s">
        <v>162</v>
      </c>
      <c r="B55" s="30" t="str">
        <f t="shared" si="12"/>
        <v>04010100</v>
      </c>
      <c r="C55" s="31">
        <v>3</v>
      </c>
      <c r="D55" s="31" t="s">
        <v>406</v>
      </c>
      <c r="E55" s="30" t="s">
        <v>370</v>
      </c>
      <c r="F55" s="30" t="s">
        <v>362</v>
      </c>
      <c r="G55" s="30" t="s">
        <v>362</v>
      </c>
      <c r="H55" s="30" t="s">
        <v>363</v>
      </c>
      <c r="I55" s="31">
        <v>1</v>
      </c>
      <c r="J55" s="31">
        <v>0</v>
      </c>
      <c r="K55" s="37" t="s">
        <v>94</v>
      </c>
      <c r="L55" s="31"/>
      <c r="M55" s="37" t="s">
        <v>94</v>
      </c>
      <c r="N55" s="31"/>
    </row>
    <row r="56" spans="1:14">
      <c r="A56" s="17" t="s">
        <v>163</v>
      </c>
      <c r="B56" s="30" t="str">
        <f t="shared" si="12"/>
        <v>04010200</v>
      </c>
      <c r="C56" s="31">
        <v>3</v>
      </c>
      <c r="D56" s="31" t="s">
        <v>407</v>
      </c>
      <c r="E56" s="30" t="s">
        <v>370</v>
      </c>
      <c r="F56" s="30" t="s">
        <v>362</v>
      </c>
      <c r="G56" s="30" t="s">
        <v>366</v>
      </c>
      <c r="H56" s="30" t="s">
        <v>363</v>
      </c>
      <c r="I56" s="31">
        <v>1</v>
      </c>
      <c r="J56" s="31">
        <v>0</v>
      </c>
      <c r="K56" s="37" t="s">
        <v>94</v>
      </c>
      <c r="L56" s="31"/>
      <c r="M56" s="37" t="s">
        <v>94</v>
      </c>
      <c r="N56" s="31"/>
    </row>
    <row r="57" spans="1:14">
      <c r="A57" s="17" t="s">
        <v>164</v>
      </c>
      <c r="B57" s="30" t="str">
        <f t="shared" si="12"/>
        <v>05010100</v>
      </c>
      <c r="C57" s="31">
        <v>3</v>
      </c>
      <c r="D57" s="31" t="s">
        <v>383</v>
      </c>
      <c r="E57" s="30" t="s">
        <v>372</v>
      </c>
      <c r="F57" s="30" t="s">
        <v>362</v>
      </c>
      <c r="G57" s="30" t="s">
        <v>362</v>
      </c>
      <c r="H57" s="30" t="s">
        <v>363</v>
      </c>
      <c r="I57" s="31">
        <v>1</v>
      </c>
      <c r="J57" s="31">
        <v>0</v>
      </c>
      <c r="K57" s="37" t="s">
        <v>94</v>
      </c>
      <c r="L57" s="31"/>
      <c r="M57" s="37" t="s">
        <v>94</v>
      </c>
      <c r="N57" s="31"/>
    </row>
    <row r="58" spans="1:14">
      <c r="A58" s="17" t="s">
        <v>165</v>
      </c>
      <c r="B58" s="30" t="str">
        <f t="shared" si="12"/>
        <v>05020100</v>
      </c>
      <c r="C58" s="31">
        <v>3</v>
      </c>
      <c r="D58" s="31" t="s">
        <v>384</v>
      </c>
      <c r="E58" s="30" t="s">
        <v>372</v>
      </c>
      <c r="F58" s="30" t="s">
        <v>366</v>
      </c>
      <c r="G58" s="30" t="s">
        <v>362</v>
      </c>
      <c r="H58" s="30" t="s">
        <v>363</v>
      </c>
      <c r="I58" s="31">
        <v>1</v>
      </c>
      <c r="J58" s="31">
        <v>0</v>
      </c>
      <c r="K58" s="37" t="s">
        <v>94</v>
      </c>
      <c r="L58" s="31"/>
      <c r="M58" s="37" t="s">
        <v>94</v>
      </c>
      <c r="N58" s="31"/>
    </row>
    <row r="59" spans="1:14">
      <c r="A59" s="17" t="s">
        <v>166</v>
      </c>
      <c r="B59" s="30" t="str">
        <f t="shared" si="12"/>
        <v>05030100</v>
      </c>
      <c r="C59" s="31">
        <v>3</v>
      </c>
      <c r="D59" s="31" t="s">
        <v>408</v>
      </c>
      <c r="E59" s="30" t="s">
        <v>372</v>
      </c>
      <c r="F59" s="30" t="s">
        <v>368</v>
      </c>
      <c r="G59" s="30" t="s">
        <v>362</v>
      </c>
      <c r="H59" s="30" t="s">
        <v>363</v>
      </c>
      <c r="I59" s="31">
        <v>1</v>
      </c>
      <c r="J59" s="31">
        <v>0</v>
      </c>
      <c r="K59" s="37" t="s">
        <v>94</v>
      </c>
      <c r="L59" s="31"/>
      <c r="M59" s="37" t="s">
        <v>94</v>
      </c>
      <c r="N59" s="31"/>
    </row>
    <row r="60" spans="1:14">
      <c r="A60" s="17" t="s">
        <v>167</v>
      </c>
      <c r="B60" s="30" t="str">
        <f t="shared" si="12"/>
        <v>05030200</v>
      </c>
      <c r="C60" s="31">
        <v>3</v>
      </c>
      <c r="D60" s="31" t="s">
        <v>409</v>
      </c>
      <c r="E60" s="30" t="s">
        <v>372</v>
      </c>
      <c r="F60" s="30" t="s">
        <v>368</v>
      </c>
      <c r="G60" s="30" t="s">
        <v>366</v>
      </c>
      <c r="H60" s="30" t="s">
        <v>363</v>
      </c>
      <c r="I60" s="31">
        <v>1</v>
      </c>
      <c r="J60" s="31">
        <v>0</v>
      </c>
      <c r="K60" s="37" t="s">
        <v>94</v>
      </c>
      <c r="L60" s="31"/>
      <c r="M60" s="37" t="s">
        <v>94</v>
      </c>
      <c r="N60" s="31"/>
    </row>
    <row r="61" spans="1:14">
      <c r="A61" s="17" t="s">
        <v>168</v>
      </c>
      <c r="B61" s="30" t="str">
        <f t="shared" si="12"/>
        <v>05990100</v>
      </c>
      <c r="C61" s="31">
        <v>3</v>
      </c>
      <c r="D61" s="31" t="s">
        <v>410</v>
      </c>
      <c r="E61" s="30" t="s">
        <v>372</v>
      </c>
      <c r="F61" s="30" t="s">
        <v>374</v>
      </c>
      <c r="G61" s="30" t="s">
        <v>362</v>
      </c>
      <c r="H61" s="30" t="s">
        <v>363</v>
      </c>
      <c r="I61" s="31">
        <v>1</v>
      </c>
      <c r="J61" s="31">
        <v>0</v>
      </c>
      <c r="K61" s="37" t="s">
        <v>94</v>
      </c>
      <c r="L61" s="31"/>
      <c r="M61" s="37" t="s">
        <v>94</v>
      </c>
      <c r="N61" s="31"/>
    </row>
    <row r="62" spans="1:14">
      <c r="A62" s="17" t="s">
        <v>169</v>
      </c>
      <c r="B62" s="30" t="str">
        <f t="shared" si="12"/>
        <v>05990200</v>
      </c>
      <c r="C62" s="31">
        <v>3</v>
      </c>
      <c r="D62" s="31" t="s">
        <v>411</v>
      </c>
      <c r="E62" s="30" t="s">
        <v>372</v>
      </c>
      <c r="F62" s="30" t="s">
        <v>374</v>
      </c>
      <c r="G62" s="30" t="s">
        <v>366</v>
      </c>
      <c r="H62" s="30" t="s">
        <v>363</v>
      </c>
      <c r="I62" s="31">
        <v>1</v>
      </c>
      <c r="J62" s="31">
        <v>0</v>
      </c>
      <c r="K62" s="37" t="s">
        <v>94</v>
      </c>
      <c r="L62" s="31"/>
      <c r="M62" s="37" t="s">
        <v>94</v>
      </c>
      <c r="N62" s="31"/>
    </row>
    <row r="63" spans="1:14">
      <c r="A63" s="17" t="s">
        <v>170</v>
      </c>
      <c r="B63" s="30" t="str">
        <f t="shared" ref="B63:B69" si="13">E63&amp;F63&amp;G63&amp;H63</f>
        <v>05990300</v>
      </c>
      <c r="C63" s="31">
        <v>3</v>
      </c>
      <c r="D63" s="31" t="s">
        <v>412</v>
      </c>
      <c r="E63" s="30" t="s">
        <v>372</v>
      </c>
      <c r="F63" s="30" t="s">
        <v>374</v>
      </c>
      <c r="G63" s="30" t="s">
        <v>368</v>
      </c>
      <c r="H63" s="30" t="s">
        <v>363</v>
      </c>
      <c r="I63" s="31">
        <v>1</v>
      </c>
      <c r="J63" s="31">
        <v>0</v>
      </c>
      <c r="K63" s="37" t="s">
        <v>94</v>
      </c>
      <c r="L63" s="31"/>
      <c r="M63" s="37" t="s">
        <v>94</v>
      </c>
      <c r="N63" s="31"/>
    </row>
    <row r="64" spans="1:14">
      <c r="A64" s="17" t="s">
        <v>171</v>
      </c>
      <c r="B64" s="30" t="str">
        <f t="shared" si="13"/>
        <v>05999900</v>
      </c>
      <c r="C64" s="31">
        <v>3</v>
      </c>
      <c r="D64" s="31" t="s">
        <v>373</v>
      </c>
      <c r="E64" s="30" t="s">
        <v>372</v>
      </c>
      <c r="F64" s="30" t="s">
        <v>374</v>
      </c>
      <c r="G64" s="30" t="s">
        <v>374</v>
      </c>
      <c r="H64" s="30" t="s">
        <v>363</v>
      </c>
      <c r="I64" s="31">
        <v>1</v>
      </c>
      <c r="J64" s="31">
        <v>0</v>
      </c>
      <c r="K64" s="37" t="s">
        <v>94</v>
      </c>
      <c r="L64" s="31"/>
      <c r="M64" s="37" t="s">
        <v>94</v>
      </c>
      <c r="N64" s="31"/>
    </row>
    <row r="65" spans="1:14">
      <c r="A65" s="17" t="s">
        <v>172</v>
      </c>
      <c r="B65" s="30" t="str">
        <f t="shared" si="13"/>
        <v>99010100</v>
      </c>
      <c r="C65" s="31">
        <v>3</v>
      </c>
      <c r="D65" s="31" t="s">
        <v>413</v>
      </c>
      <c r="E65" s="30" t="s">
        <v>374</v>
      </c>
      <c r="F65" s="30" t="s">
        <v>362</v>
      </c>
      <c r="G65" s="30" t="s">
        <v>362</v>
      </c>
      <c r="H65" s="30" t="s">
        <v>363</v>
      </c>
      <c r="I65" s="31">
        <v>1</v>
      </c>
      <c r="J65" s="31">
        <v>0</v>
      </c>
      <c r="K65" s="37" t="s">
        <v>94</v>
      </c>
      <c r="L65" s="31"/>
      <c r="M65" s="37" t="s">
        <v>94</v>
      </c>
      <c r="N65" s="31"/>
    </row>
    <row r="66" spans="1:14">
      <c r="A66" s="17" t="s">
        <v>173</v>
      </c>
      <c r="B66" s="30" t="str">
        <f t="shared" si="13"/>
        <v>99010200</v>
      </c>
      <c r="C66" s="31">
        <v>3</v>
      </c>
      <c r="D66" s="31" t="s">
        <v>414</v>
      </c>
      <c r="E66" s="30" t="s">
        <v>374</v>
      </c>
      <c r="F66" s="30" t="s">
        <v>362</v>
      </c>
      <c r="G66" s="30" t="s">
        <v>366</v>
      </c>
      <c r="H66" s="30" t="s">
        <v>363</v>
      </c>
      <c r="I66" s="31">
        <v>1</v>
      </c>
      <c r="J66" s="31">
        <v>0</v>
      </c>
      <c r="K66" s="37" t="s">
        <v>94</v>
      </c>
      <c r="L66" s="31"/>
      <c r="M66" s="37" t="s">
        <v>94</v>
      </c>
      <c r="N66" s="31"/>
    </row>
    <row r="67" spans="1:14">
      <c r="A67" s="17" t="s">
        <v>174</v>
      </c>
      <c r="B67" s="30" t="str">
        <f t="shared" si="13"/>
        <v>99010300</v>
      </c>
      <c r="C67" s="31">
        <v>3</v>
      </c>
      <c r="D67" s="31" t="s">
        <v>415</v>
      </c>
      <c r="E67" s="30" t="s">
        <v>374</v>
      </c>
      <c r="F67" s="30" t="s">
        <v>362</v>
      </c>
      <c r="G67" s="30" t="s">
        <v>368</v>
      </c>
      <c r="H67" s="30" t="s">
        <v>363</v>
      </c>
      <c r="I67" s="31">
        <v>1</v>
      </c>
      <c r="J67" s="31">
        <v>0</v>
      </c>
      <c r="K67" s="37" t="s">
        <v>94</v>
      </c>
      <c r="L67" s="31"/>
      <c r="M67" s="37" t="s">
        <v>94</v>
      </c>
      <c r="N67" s="31"/>
    </row>
    <row r="68" spans="1:14">
      <c r="A68" s="17" t="s">
        <v>175</v>
      </c>
      <c r="B68" s="30" t="str">
        <f t="shared" si="13"/>
        <v>99010400</v>
      </c>
      <c r="C68" s="31">
        <v>3</v>
      </c>
      <c r="D68" s="31" t="s">
        <v>416</v>
      </c>
      <c r="E68" s="30" t="s">
        <v>374</v>
      </c>
      <c r="F68" s="30" t="s">
        <v>362</v>
      </c>
      <c r="G68" s="30" t="s">
        <v>370</v>
      </c>
      <c r="H68" s="30" t="s">
        <v>363</v>
      </c>
      <c r="I68" s="31">
        <v>1</v>
      </c>
      <c r="J68" s="31">
        <v>0</v>
      </c>
      <c r="K68" s="37" t="s">
        <v>94</v>
      </c>
      <c r="L68" s="31"/>
      <c r="M68" s="37" t="s">
        <v>94</v>
      </c>
      <c r="N68" s="31"/>
    </row>
    <row r="69" spans="1:14">
      <c r="A69" s="17" t="s">
        <v>176</v>
      </c>
      <c r="B69" s="30" t="str">
        <f t="shared" si="13"/>
        <v>99019900</v>
      </c>
      <c r="C69" s="31">
        <v>3</v>
      </c>
      <c r="D69" s="31" t="s">
        <v>373</v>
      </c>
      <c r="E69" s="30" t="s">
        <v>374</v>
      </c>
      <c r="F69" s="30" t="s">
        <v>362</v>
      </c>
      <c r="G69" s="30" t="s">
        <v>374</v>
      </c>
      <c r="H69" s="30" t="s">
        <v>363</v>
      </c>
      <c r="I69" s="31">
        <v>1</v>
      </c>
      <c r="J69" s="31">
        <v>0</v>
      </c>
      <c r="K69" s="37" t="s">
        <v>94</v>
      </c>
      <c r="L69" s="31"/>
      <c r="M69" s="37" t="s">
        <v>94</v>
      </c>
      <c r="N69" s="31"/>
    </row>
  </sheetData>
  <phoneticPr fontId="5"/>
  <hyperlinks>
    <hyperlink ref="K11:K69" r:id="rId1" display="aaa@email.com" xr:uid="{7C097040-1AFD-498E-B91A-AFC7CD8DB918}"/>
    <hyperlink ref="M11:M69" r:id="rId2" display="aaa@email.com" xr:uid="{27A613BC-B63D-4A9D-BAD9-C5FF82800B6F}"/>
  </hyperlinks>
  <pageMargins left="0.7" right="0.7" top="0.75" bottom="0.75" header="0.3" footer="0.3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2925D-525A-4F74-9A97-5516DE656F55}">
  <sheetPr codeName="Sheet18"/>
  <dimension ref="A4:P16"/>
  <sheetViews>
    <sheetView zoomScale="70" zoomScaleNormal="70" workbookViewId="0">
      <selection activeCell="C27" sqref="C27"/>
    </sheetView>
  </sheetViews>
  <sheetFormatPr defaultRowHeight="18"/>
  <cols>
    <col min="1" max="1" width="21.125" customWidth="1"/>
    <col min="2" max="2" width="19.875" customWidth="1"/>
    <col min="3" max="3" width="18.75" customWidth="1"/>
    <col min="4" max="4" width="17.375" customWidth="1"/>
    <col min="5" max="5" width="14.5" bestFit="1" customWidth="1"/>
    <col min="6" max="6" width="14.125" bestFit="1" customWidth="1"/>
    <col min="7" max="7" width="16" bestFit="1" customWidth="1"/>
    <col min="8" max="8" width="8.875" bestFit="1" customWidth="1"/>
    <col min="9" max="9" width="12.25" bestFit="1" customWidth="1"/>
    <col min="10" max="10" width="10.375" bestFit="1" customWidth="1"/>
    <col min="11" max="11" width="13.75" bestFit="1" customWidth="1"/>
    <col min="13" max="13" width="13.75" bestFit="1" customWidth="1"/>
    <col min="16" max="16" width="6.5" customWidth="1"/>
    <col min="17" max="17" width="11.5" bestFit="1" customWidth="1"/>
    <col min="18" max="18" width="25" customWidth="1"/>
    <col min="19" max="19" width="11.375" bestFit="1" customWidth="1"/>
    <col min="20" max="20" width="27.75" customWidth="1"/>
    <col min="21" max="21" width="10.375" bestFit="1" customWidth="1"/>
    <col min="22" max="23" width="13.75" bestFit="1" customWidth="1"/>
    <col min="25" max="25" width="13.75" bestFit="1" customWidth="1"/>
  </cols>
  <sheetData>
    <row r="4" spans="1:16" ht="22.5">
      <c r="A4" s="20" t="s">
        <v>417</v>
      </c>
    </row>
    <row r="5" spans="1:16">
      <c r="A5" t="s">
        <v>184</v>
      </c>
    </row>
    <row r="6" spans="1:16">
      <c r="A6" t="s">
        <v>418</v>
      </c>
    </row>
    <row r="7" spans="1:16">
      <c r="A7" t="s">
        <v>419</v>
      </c>
    </row>
    <row r="9" spans="1:16">
      <c r="A9" s="15" t="s">
        <v>186</v>
      </c>
      <c r="B9" s="15" t="s">
        <v>187</v>
      </c>
      <c r="C9" s="15" t="s">
        <v>420</v>
      </c>
      <c r="D9" s="15" t="s">
        <v>331</v>
      </c>
      <c r="E9" s="15" t="s">
        <v>421</v>
      </c>
      <c r="F9" s="15" t="s">
        <v>422</v>
      </c>
      <c r="G9" s="15" t="s">
        <v>423</v>
      </c>
      <c r="H9" s="15" t="s">
        <v>424</v>
      </c>
      <c r="I9" s="15" t="s">
        <v>425</v>
      </c>
      <c r="J9" s="15" t="s">
        <v>41</v>
      </c>
      <c r="K9" s="15" t="s">
        <v>195</v>
      </c>
      <c r="L9" s="15" t="s">
        <v>196</v>
      </c>
      <c r="M9" s="15" t="s">
        <v>197</v>
      </c>
      <c r="N9" s="15" t="s">
        <v>198</v>
      </c>
      <c r="O9" s="15" t="s">
        <v>199</v>
      </c>
      <c r="P9" s="15" t="s">
        <v>200</v>
      </c>
    </row>
    <row r="10" spans="1:16" ht="18.600000000000001" thickBot="1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</row>
    <row r="11" spans="1:16" ht="18.600000000000001" thickTop="1">
      <c r="A11" s="17" t="s">
        <v>177</v>
      </c>
      <c r="B11" s="31">
        <v>1</v>
      </c>
      <c r="C11" s="31">
        <v>1</v>
      </c>
      <c r="D11" s="40">
        <v>45828</v>
      </c>
      <c r="E11" s="31" t="s">
        <v>426</v>
      </c>
      <c r="F11" s="31"/>
      <c r="G11" s="31"/>
      <c r="H11" s="31"/>
      <c r="I11" s="31"/>
      <c r="J11" s="31"/>
      <c r="K11" s="31">
        <v>0</v>
      </c>
      <c r="L11" s="31">
        <v>0</v>
      </c>
      <c r="M11" s="37" t="s">
        <v>94</v>
      </c>
      <c r="N11" s="31"/>
      <c r="O11" s="37" t="s">
        <v>94</v>
      </c>
      <c r="P11" s="31"/>
    </row>
    <row r="12" spans="1:16">
      <c r="A12" s="17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</row>
    <row r="13" spans="1:16">
      <c r="A13" s="17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</row>
    <row r="14" spans="1:16">
      <c r="A14" s="17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</row>
    <row r="15" spans="1:16">
      <c r="A15" s="17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</row>
    <row r="16" spans="1:16">
      <c r="A16" s="17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</row>
  </sheetData>
  <phoneticPr fontId="5"/>
  <hyperlinks>
    <hyperlink ref="M11" r:id="rId1" display="aaa@email.com" xr:uid="{27FC31C4-8371-4A72-B034-DD557EDB27F1}"/>
    <hyperlink ref="O11" r:id="rId2" display="aaa@email.com" xr:uid="{4E19BA4F-51D3-4970-B9C3-031D68B13367}"/>
  </hyperlinks>
  <pageMargins left="0.7" right="0.7" top="0.75" bottom="0.75" header="0.3" footer="0.3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8259-A25E-4252-B5D1-7615C2C45173}">
  <sheetPr codeName="Sheet19"/>
  <dimension ref="A4:Y16"/>
  <sheetViews>
    <sheetView zoomScale="70" zoomScaleNormal="70" workbookViewId="0">
      <selection activeCell="A11" sqref="A11"/>
    </sheetView>
  </sheetViews>
  <sheetFormatPr defaultRowHeight="18"/>
  <cols>
    <col min="1" max="1" width="21.125" customWidth="1"/>
    <col min="2" max="2" width="19.875" customWidth="1"/>
    <col min="3" max="3" width="18.75" customWidth="1"/>
    <col min="4" max="4" width="17.375" customWidth="1"/>
    <col min="5" max="5" width="14.5" bestFit="1" customWidth="1"/>
    <col min="6" max="6" width="14.125" bestFit="1" customWidth="1"/>
    <col min="7" max="7" width="16" bestFit="1" customWidth="1"/>
    <col min="8" max="8" width="8.875" bestFit="1" customWidth="1"/>
    <col min="9" max="9" width="12.25" bestFit="1" customWidth="1"/>
    <col min="10" max="10" width="10.375" bestFit="1" customWidth="1"/>
    <col min="11" max="11" width="13.75" bestFit="1" customWidth="1"/>
    <col min="13" max="13" width="13.75" bestFit="1" customWidth="1"/>
    <col min="16" max="16" width="15.125" bestFit="1" customWidth="1"/>
    <col min="17" max="17" width="11.5" bestFit="1" customWidth="1"/>
    <col min="18" max="18" width="25" customWidth="1"/>
    <col min="19" max="19" width="11.375" bestFit="1" customWidth="1"/>
    <col min="20" max="20" width="27.75" customWidth="1"/>
    <col min="21" max="21" width="10.375" bestFit="1" customWidth="1"/>
    <col min="22" max="23" width="13.75" bestFit="1" customWidth="1"/>
    <col min="25" max="25" width="13.75" bestFit="1" customWidth="1"/>
  </cols>
  <sheetData>
    <row r="4" spans="1:25" ht="22.5">
      <c r="A4" s="20" t="s">
        <v>417</v>
      </c>
    </row>
    <row r="5" spans="1:25">
      <c r="A5" t="s">
        <v>184</v>
      </c>
    </row>
    <row r="6" spans="1:25">
      <c r="A6" t="s">
        <v>427</v>
      </c>
    </row>
    <row r="7" spans="1:25">
      <c r="A7" t="s">
        <v>428</v>
      </c>
    </row>
    <row r="9" spans="1:25">
      <c r="A9" s="15" t="s">
        <v>186</v>
      </c>
      <c r="B9" s="15" t="s">
        <v>429</v>
      </c>
      <c r="C9" s="15" t="s">
        <v>331</v>
      </c>
      <c r="D9" s="15" t="s">
        <v>430</v>
      </c>
      <c r="E9" s="15" t="s">
        <v>431</v>
      </c>
      <c r="F9" s="15" t="s">
        <v>189</v>
      </c>
      <c r="G9" s="15" t="s">
        <v>432</v>
      </c>
      <c r="H9" s="15" t="s">
        <v>330</v>
      </c>
      <c r="I9" s="15" t="s">
        <v>433</v>
      </c>
      <c r="J9" s="15" t="s">
        <v>434</v>
      </c>
      <c r="K9" s="15" t="s">
        <v>435</v>
      </c>
      <c r="L9" s="15" t="s">
        <v>436</v>
      </c>
      <c r="M9" s="15" t="s">
        <v>437</v>
      </c>
      <c r="N9" s="15" t="s">
        <v>438</v>
      </c>
      <c r="O9" s="15" t="s">
        <v>439</v>
      </c>
      <c r="P9" s="15" t="s">
        <v>440</v>
      </c>
      <c r="Q9" s="15" t="s">
        <v>441</v>
      </c>
      <c r="R9" s="15" t="s">
        <v>442</v>
      </c>
      <c r="S9" s="15" t="s">
        <v>443</v>
      </c>
      <c r="T9" s="15" t="s">
        <v>195</v>
      </c>
      <c r="U9" s="15" t="s">
        <v>196</v>
      </c>
      <c r="V9" s="15" t="s">
        <v>197</v>
      </c>
      <c r="W9" s="15" t="s">
        <v>198</v>
      </c>
      <c r="X9" s="15" t="s">
        <v>199</v>
      </c>
      <c r="Y9" s="15" t="s">
        <v>200</v>
      </c>
    </row>
    <row r="10" spans="1:25" ht="18.600000000000001" thickBot="1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</row>
    <row r="11" spans="1:25" ht="18.600000000000001" thickTop="1">
      <c r="A11" s="17" t="s">
        <v>444</v>
      </c>
      <c r="B11" s="31" t="s">
        <v>445</v>
      </c>
      <c r="C11" s="40">
        <v>45828</v>
      </c>
      <c r="D11" s="40" t="s">
        <v>446</v>
      </c>
      <c r="E11" s="31"/>
      <c r="F11" s="31"/>
      <c r="G11" s="31" t="s">
        <v>447</v>
      </c>
      <c r="H11" s="31" t="s">
        <v>326</v>
      </c>
      <c r="I11" s="31" t="s">
        <v>326</v>
      </c>
      <c r="J11" s="31"/>
      <c r="K11" s="31">
        <v>1</v>
      </c>
      <c r="L11" s="31">
        <v>1</v>
      </c>
      <c r="M11" s="31">
        <v>1</v>
      </c>
      <c r="N11" s="31">
        <v>0</v>
      </c>
      <c r="O11" s="31">
        <v>1</v>
      </c>
      <c r="P11" s="31">
        <v>1</v>
      </c>
      <c r="Q11" s="31">
        <v>1</v>
      </c>
      <c r="R11" s="31">
        <v>2</v>
      </c>
      <c r="S11" s="31">
        <v>0</v>
      </c>
      <c r="T11" s="31">
        <v>0</v>
      </c>
      <c r="U11" s="31">
        <v>0</v>
      </c>
      <c r="V11" s="37" t="s">
        <v>94</v>
      </c>
      <c r="W11" s="31"/>
      <c r="X11" s="37" t="s">
        <v>94</v>
      </c>
      <c r="Y11" s="31"/>
    </row>
    <row r="12" spans="1:25">
      <c r="A12" s="17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>
      <c r="A13" s="17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</row>
    <row r="14" spans="1:25">
      <c r="A14" s="17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</row>
    <row r="15" spans="1:25">
      <c r="A15" s="17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</row>
    <row r="16" spans="1:25">
      <c r="A16" s="17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</row>
  </sheetData>
  <phoneticPr fontId="5"/>
  <hyperlinks>
    <hyperlink ref="V11" r:id="rId1" display="aaa@email.com" xr:uid="{71B89257-43B9-4DD3-A738-194E6CBBD90F}"/>
    <hyperlink ref="X11" r:id="rId2" display="aaa@email.com" xr:uid="{367C6125-2742-4DE8-843A-BB53EB157A56}"/>
  </hyperlinks>
  <pageMargins left="0.7" right="0.7" top="0.75" bottom="0.75" header="0.3" footer="0.3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C54F6-C6FA-426B-9162-24D53B86249C}">
  <sheetPr codeName="Sheet20"/>
  <dimension ref="A4:H16"/>
  <sheetViews>
    <sheetView topLeftCell="A4" zoomScale="70" zoomScaleNormal="70" workbookViewId="0">
      <selection activeCell="G11" sqref="G11"/>
    </sheetView>
  </sheetViews>
  <sheetFormatPr defaultRowHeight="18"/>
  <cols>
    <col min="1" max="1" width="21.125" customWidth="1"/>
    <col min="2" max="2" width="19.875" customWidth="1"/>
    <col min="3" max="3" width="18.75" customWidth="1"/>
    <col min="4" max="4" width="17.375" customWidth="1"/>
    <col min="5" max="5" width="14.5" bestFit="1" customWidth="1"/>
    <col min="6" max="6" width="14.125" bestFit="1" customWidth="1"/>
    <col min="7" max="7" width="16" bestFit="1" customWidth="1"/>
    <col min="8" max="8" width="8.875" bestFit="1" customWidth="1"/>
    <col min="9" max="9" width="12.25" bestFit="1" customWidth="1"/>
    <col min="10" max="10" width="10.375" bestFit="1" customWidth="1"/>
    <col min="11" max="11" width="13.75" bestFit="1" customWidth="1"/>
    <col min="13" max="13" width="13.75" bestFit="1" customWidth="1"/>
    <col min="16" max="16" width="15.125" bestFit="1" customWidth="1"/>
    <col min="17" max="17" width="11.5" bestFit="1" customWidth="1"/>
    <col min="18" max="18" width="25" customWidth="1"/>
    <col min="19" max="19" width="11.375" bestFit="1" customWidth="1"/>
    <col min="20" max="20" width="27.75" customWidth="1"/>
    <col min="21" max="21" width="10.375" bestFit="1" customWidth="1"/>
    <col min="22" max="23" width="13.75" bestFit="1" customWidth="1"/>
    <col min="25" max="25" width="13.75" bestFit="1" customWidth="1"/>
  </cols>
  <sheetData>
    <row r="4" spans="1:8" ht="22.5">
      <c r="A4" s="20" t="s">
        <v>417</v>
      </c>
    </row>
    <row r="5" spans="1:8">
      <c r="A5" t="s">
        <v>184</v>
      </c>
    </row>
    <row r="6" spans="1:8">
      <c r="A6" t="s">
        <v>289</v>
      </c>
    </row>
    <row r="7" spans="1:8">
      <c r="A7" t="s">
        <v>448</v>
      </c>
    </row>
    <row r="9" spans="1:8">
      <c r="A9" s="15" t="s">
        <v>186</v>
      </c>
      <c r="B9" s="15" t="s">
        <v>449</v>
      </c>
      <c r="C9" s="15" t="s">
        <v>420</v>
      </c>
      <c r="D9" s="15" t="s">
        <v>195</v>
      </c>
      <c r="E9" s="15" t="s">
        <v>197</v>
      </c>
      <c r="F9" s="15" t="s">
        <v>198</v>
      </c>
      <c r="G9" s="15" t="s">
        <v>199</v>
      </c>
      <c r="H9" s="15" t="s">
        <v>200</v>
      </c>
    </row>
    <row r="10" spans="1:8" ht="18.600000000000001" thickBot="1">
      <c r="A10" s="16"/>
      <c r="B10" s="16"/>
      <c r="C10" s="16"/>
      <c r="D10" s="16"/>
      <c r="E10" s="16"/>
      <c r="F10" s="16"/>
      <c r="G10" s="16"/>
      <c r="H10" s="16"/>
    </row>
    <row r="11" spans="1:8" ht="18.600000000000001" thickTop="1">
      <c r="A11" s="38"/>
      <c r="B11" s="31" t="s">
        <v>178</v>
      </c>
      <c r="C11" s="31">
        <v>1</v>
      </c>
      <c r="D11" s="31">
        <v>0</v>
      </c>
      <c r="E11" s="37" t="s">
        <v>94</v>
      </c>
      <c r="F11" s="31"/>
      <c r="G11" s="37" t="s">
        <v>94</v>
      </c>
      <c r="H11" s="31"/>
    </row>
    <row r="12" spans="1:8">
      <c r="A12" s="38"/>
      <c r="B12" s="31"/>
      <c r="C12" s="31"/>
      <c r="D12" s="31"/>
      <c r="E12" s="31"/>
      <c r="F12" s="31"/>
      <c r="G12" s="31"/>
      <c r="H12" s="31"/>
    </row>
    <row r="13" spans="1:8">
      <c r="A13" s="38"/>
      <c r="B13" s="31"/>
      <c r="C13" s="31"/>
      <c r="D13" s="31"/>
      <c r="E13" s="31"/>
      <c r="F13" s="31"/>
      <c r="G13" s="31"/>
      <c r="H13" s="31"/>
    </row>
    <row r="14" spans="1:8">
      <c r="A14" s="38"/>
      <c r="B14" s="31"/>
      <c r="C14" s="31"/>
      <c r="D14" s="31"/>
      <c r="E14" s="31"/>
      <c r="F14" s="31"/>
      <c r="G14" s="31"/>
      <c r="H14" s="31"/>
    </row>
    <row r="15" spans="1:8">
      <c r="A15" s="38"/>
      <c r="B15" s="31"/>
      <c r="C15" s="31"/>
      <c r="D15" s="31"/>
      <c r="E15" s="31"/>
      <c r="F15" s="31"/>
      <c r="G15" s="31"/>
      <c r="H15" s="31"/>
    </row>
    <row r="16" spans="1:8">
      <c r="A16" s="38"/>
      <c r="B16" s="31"/>
      <c r="C16" s="31"/>
      <c r="D16" s="31"/>
      <c r="E16" s="31"/>
      <c r="F16" s="31"/>
      <c r="G16" s="31"/>
      <c r="H16" s="31"/>
    </row>
  </sheetData>
  <phoneticPr fontId="5"/>
  <hyperlinks>
    <hyperlink ref="E11" r:id="rId1" display="aaa@email.com" xr:uid="{772E7D71-ABBB-42A9-90DC-8B59CA6FFA95}"/>
    <hyperlink ref="G11" r:id="rId2" display="aaa@email.com" xr:uid="{1BD7E519-B2F5-41E3-A527-211B2AE99441}"/>
  </hyperlinks>
  <pageMargins left="0.7" right="0.7" top="0.75" bottom="0.75" header="0.3" footer="0.3"/>
  <drawing r:id="rId3"/>
  <legacyDrawing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E350B-119B-416E-99BC-1B5BB9BECA10}">
  <sheetPr codeName="Sheet21"/>
  <dimension ref="A2:W68"/>
  <sheetViews>
    <sheetView topLeftCell="D1" zoomScale="85" zoomScaleNormal="85" workbookViewId="0">
      <selection activeCell="Q32" sqref="Q32"/>
    </sheetView>
  </sheetViews>
  <sheetFormatPr defaultRowHeight="18"/>
  <cols>
    <col min="1" max="1" width="21.25" customWidth="1"/>
    <col min="2" max="2" width="13.5" customWidth="1"/>
    <col min="3" max="3" width="19.125" customWidth="1"/>
    <col min="4" max="4" width="19.875" customWidth="1"/>
    <col min="6" max="6" width="11.5" bestFit="1" customWidth="1"/>
    <col min="8" max="8" width="13" customWidth="1"/>
    <col min="9" max="9" width="16.25" customWidth="1"/>
    <col min="10" max="10" width="20.125" customWidth="1"/>
    <col min="11" max="11" width="20.75" customWidth="1"/>
    <col min="12" max="12" width="14.625" customWidth="1"/>
    <col min="13" max="13" width="22.75" customWidth="1"/>
    <col min="14" max="14" width="13.625" customWidth="1"/>
    <col min="15" max="15" width="23" customWidth="1"/>
    <col min="16" max="16" width="10.375" bestFit="1" customWidth="1"/>
    <col min="17" max="17" width="13.75" bestFit="1" customWidth="1"/>
    <col min="19" max="19" width="13.75" bestFit="1" customWidth="1"/>
  </cols>
  <sheetData>
    <row r="2" spans="1:23" ht="22.5">
      <c r="A2" s="20" t="s">
        <v>450</v>
      </c>
    </row>
    <row r="3" spans="1:23">
      <c r="A3" t="s">
        <v>289</v>
      </c>
    </row>
    <row r="6" spans="1:23">
      <c r="N6" t="s">
        <v>451</v>
      </c>
    </row>
    <row r="7" spans="1:23">
      <c r="A7" s="15" t="s">
        <v>186</v>
      </c>
      <c r="B7" s="15" t="s">
        <v>187</v>
      </c>
      <c r="C7" s="15" t="s">
        <v>452</v>
      </c>
      <c r="D7" s="15" t="s">
        <v>453</v>
      </c>
      <c r="E7" s="15" t="s">
        <v>454</v>
      </c>
      <c r="F7" s="15" t="s">
        <v>455</v>
      </c>
      <c r="G7" s="15" t="s">
        <v>456</v>
      </c>
      <c r="H7" s="15" t="s">
        <v>457</v>
      </c>
      <c r="I7" s="15" t="s">
        <v>458</v>
      </c>
      <c r="J7" s="15" t="s">
        <v>459</v>
      </c>
      <c r="K7" s="15" t="s">
        <v>460</v>
      </c>
      <c r="L7" s="15" t="s">
        <v>461</v>
      </c>
      <c r="M7" s="15" t="s">
        <v>462</v>
      </c>
      <c r="N7" s="15" t="s">
        <v>463</v>
      </c>
      <c r="O7" s="15" t="s">
        <v>464</v>
      </c>
      <c r="P7" s="15" t="s">
        <v>465</v>
      </c>
      <c r="Q7" s="15" t="s">
        <v>432</v>
      </c>
      <c r="R7" s="15" t="s">
        <v>75</v>
      </c>
      <c r="S7" s="15" t="s">
        <v>466</v>
      </c>
      <c r="T7" s="15" t="s">
        <v>285</v>
      </c>
      <c r="U7" s="15" t="s">
        <v>78</v>
      </c>
      <c r="V7" s="15" t="s">
        <v>286</v>
      </c>
      <c r="W7" s="15" t="s">
        <v>80</v>
      </c>
    </row>
    <row r="8" spans="1:23" ht="18.600000000000001" thickBot="1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</row>
    <row r="9" spans="1:23" ht="18.600000000000001" thickTop="1">
      <c r="A9" s="38"/>
      <c r="B9" s="17">
        <v>2</v>
      </c>
      <c r="C9" s="30" t="str">
        <f t="shared" ref="C9:C23" si="0">F9&amp;G9&amp;H9</f>
        <v>0100000</v>
      </c>
      <c r="D9" s="17">
        <v>1</v>
      </c>
      <c r="E9" s="17" t="s">
        <v>467</v>
      </c>
      <c r="F9" s="30" t="s">
        <v>362</v>
      </c>
      <c r="G9" s="30" t="s">
        <v>363</v>
      </c>
      <c r="H9" s="30" t="s">
        <v>468</v>
      </c>
      <c r="I9" s="21"/>
      <c r="J9" s="21"/>
      <c r="K9" s="17">
        <v>0</v>
      </c>
      <c r="L9" s="17">
        <v>0</v>
      </c>
      <c r="M9" s="17">
        <v>1</v>
      </c>
      <c r="N9" s="17" t="s">
        <v>469</v>
      </c>
      <c r="O9" s="17" t="s">
        <v>470</v>
      </c>
      <c r="P9" s="17"/>
      <c r="Q9" s="17"/>
      <c r="R9" s="17">
        <v>0</v>
      </c>
      <c r="S9" s="17"/>
      <c r="T9" s="37" t="s">
        <v>94</v>
      </c>
      <c r="U9" s="17"/>
      <c r="V9" s="37" t="s">
        <v>94</v>
      </c>
      <c r="W9" s="17"/>
    </row>
    <row r="10" spans="1:23">
      <c r="A10" s="38"/>
      <c r="B10" s="17">
        <v>2</v>
      </c>
      <c r="C10" s="30" t="str">
        <f t="shared" si="0"/>
        <v>0101000</v>
      </c>
      <c r="D10" s="17">
        <v>2</v>
      </c>
      <c r="E10" s="17" t="s">
        <v>471</v>
      </c>
      <c r="F10" s="30" t="s">
        <v>362</v>
      </c>
      <c r="G10" s="30" t="s">
        <v>472</v>
      </c>
      <c r="H10" s="30" t="s">
        <v>468</v>
      </c>
      <c r="I10" s="21"/>
      <c r="J10" s="21"/>
      <c r="K10" s="17">
        <v>0</v>
      </c>
      <c r="L10" s="17">
        <v>0</v>
      </c>
      <c r="M10" s="17">
        <v>1</v>
      </c>
      <c r="N10" s="17"/>
      <c r="O10" s="17"/>
      <c r="P10" s="17"/>
      <c r="Q10" s="17"/>
      <c r="R10" s="17">
        <v>0</v>
      </c>
      <c r="S10" s="17"/>
      <c r="T10" s="37" t="s">
        <v>94</v>
      </c>
      <c r="U10" s="17"/>
      <c r="V10" s="37" t="s">
        <v>94</v>
      </c>
      <c r="W10" s="17"/>
    </row>
    <row r="11" spans="1:23">
      <c r="A11" s="38"/>
      <c r="B11" s="21">
        <v>2</v>
      </c>
      <c r="C11" s="31" t="str">
        <f t="shared" si="0"/>
        <v>0101001</v>
      </c>
      <c r="D11" s="21">
        <v>3</v>
      </c>
      <c r="E11" s="17" t="s">
        <v>473</v>
      </c>
      <c r="F11" s="30" t="s">
        <v>362</v>
      </c>
      <c r="G11" s="30" t="s">
        <v>472</v>
      </c>
      <c r="H11" s="30" t="s">
        <v>474</v>
      </c>
      <c r="I11" s="21">
        <v>29</v>
      </c>
      <c r="J11" s="17">
        <v>2</v>
      </c>
      <c r="K11" s="21">
        <v>0</v>
      </c>
      <c r="L11" s="21">
        <v>0</v>
      </c>
      <c r="M11" s="21">
        <v>0</v>
      </c>
      <c r="N11" s="17"/>
      <c r="O11" s="17"/>
      <c r="P11" s="21"/>
      <c r="Q11" s="21"/>
      <c r="R11" s="21">
        <v>0</v>
      </c>
      <c r="S11" s="21"/>
      <c r="T11" s="37" t="s">
        <v>94</v>
      </c>
      <c r="U11" s="17"/>
      <c r="V11" s="37" t="s">
        <v>94</v>
      </c>
      <c r="W11" s="17"/>
    </row>
    <row r="12" spans="1:23">
      <c r="A12" s="38"/>
      <c r="B12" s="21">
        <v>2</v>
      </c>
      <c r="C12" s="31" t="str">
        <f t="shared" si="0"/>
        <v>0101002</v>
      </c>
      <c r="D12" s="21">
        <v>3</v>
      </c>
      <c r="E12" s="17" t="s">
        <v>475</v>
      </c>
      <c r="F12" s="30" t="s">
        <v>362</v>
      </c>
      <c r="G12" s="30" t="s">
        <v>472</v>
      </c>
      <c r="H12" s="30" t="s">
        <v>476</v>
      </c>
      <c r="I12" s="21">
        <v>29</v>
      </c>
      <c r="J12" s="17">
        <v>2</v>
      </c>
      <c r="K12" s="21">
        <v>0</v>
      </c>
      <c r="L12" s="21">
        <v>0</v>
      </c>
      <c r="M12" s="21">
        <v>0</v>
      </c>
      <c r="N12" s="17"/>
      <c r="O12" s="17"/>
      <c r="P12" s="21"/>
      <c r="Q12" s="21"/>
      <c r="R12" s="21">
        <v>0</v>
      </c>
      <c r="S12" s="21"/>
      <c r="T12" s="37" t="s">
        <v>94</v>
      </c>
      <c r="U12" s="17"/>
      <c r="V12" s="37" t="s">
        <v>94</v>
      </c>
      <c r="W12" s="17"/>
    </row>
    <row r="13" spans="1:23">
      <c r="A13" s="38"/>
      <c r="B13" s="21">
        <v>2</v>
      </c>
      <c r="C13" s="31" t="str">
        <f t="shared" si="0"/>
        <v>0101003</v>
      </c>
      <c r="D13" s="21">
        <v>3</v>
      </c>
      <c r="E13" s="17" t="s">
        <v>477</v>
      </c>
      <c r="F13" s="30" t="s">
        <v>362</v>
      </c>
      <c r="G13" s="30" t="s">
        <v>472</v>
      </c>
      <c r="H13" s="30" t="s">
        <v>478</v>
      </c>
      <c r="I13" s="21">
        <v>29</v>
      </c>
      <c r="J13" s="17">
        <v>2</v>
      </c>
      <c r="K13" s="21">
        <v>0</v>
      </c>
      <c r="L13" s="21">
        <v>0</v>
      </c>
      <c r="M13" s="21">
        <v>0</v>
      </c>
      <c r="N13" s="17"/>
      <c r="O13" s="17"/>
      <c r="P13" s="21"/>
      <c r="Q13" s="21"/>
      <c r="R13" s="21">
        <v>0</v>
      </c>
      <c r="S13" s="21"/>
      <c r="T13" s="37" t="s">
        <v>94</v>
      </c>
      <c r="U13" s="17"/>
      <c r="V13" s="37" t="s">
        <v>94</v>
      </c>
      <c r="W13" s="17"/>
    </row>
    <row r="14" spans="1:23">
      <c r="A14" s="38"/>
      <c r="B14" s="21">
        <v>2</v>
      </c>
      <c r="C14" s="31" t="str">
        <f t="shared" si="0"/>
        <v>0101098</v>
      </c>
      <c r="D14" s="21">
        <v>3</v>
      </c>
      <c r="E14" s="17" t="s">
        <v>479</v>
      </c>
      <c r="F14" s="30" t="s">
        <v>362</v>
      </c>
      <c r="G14" s="30" t="s">
        <v>472</v>
      </c>
      <c r="H14" s="30" t="s">
        <v>480</v>
      </c>
      <c r="I14" s="21"/>
      <c r="J14" s="17"/>
      <c r="K14" s="21">
        <v>1</v>
      </c>
      <c r="L14" s="21">
        <v>0</v>
      </c>
      <c r="M14" s="21">
        <v>0</v>
      </c>
      <c r="N14" s="17"/>
      <c r="O14" s="17"/>
      <c r="P14" s="21"/>
      <c r="Q14" s="21"/>
      <c r="R14" s="21">
        <v>0</v>
      </c>
      <c r="S14" s="21"/>
      <c r="T14" s="37" t="s">
        <v>94</v>
      </c>
      <c r="U14" s="17"/>
      <c r="V14" s="37" t="s">
        <v>94</v>
      </c>
      <c r="W14" s="17"/>
    </row>
    <row r="15" spans="1:23">
      <c r="A15" s="38"/>
      <c r="B15" s="21">
        <v>2</v>
      </c>
      <c r="C15" s="31" t="str">
        <f t="shared" si="0"/>
        <v>0101099</v>
      </c>
      <c r="D15" s="21">
        <v>3</v>
      </c>
      <c r="E15" s="17" t="s">
        <v>481</v>
      </c>
      <c r="F15" s="30" t="s">
        <v>362</v>
      </c>
      <c r="G15" s="30" t="s">
        <v>472</v>
      </c>
      <c r="H15" s="30" t="s">
        <v>482</v>
      </c>
      <c r="I15" s="21"/>
      <c r="J15" s="17"/>
      <c r="K15" s="21">
        <v>1</v>
      </c>
      <c r="L15" s="21">
        <v>0</v>
      </c>
      <c r="M15" s="21">
        <v>0</v>
      </c>
      <c r="N15" s="17"/>
      <c r="O15" s="17"/>
      <c r="P15" s="21"/>
      <c r="Q15" s="21"/>
      <c r="R15" s="21">
        <v>0</v>
      </c>
      <c r="S15" s="21"/>
      <c r="T15" s="37" t="s">
        <v>94</v>
      </c>
      <c r="U15" s="17"/>
      <c r="V15" s="37" t="s">
        <v>94</v>
      </c>
      <c r="W15" s="17"/>
    </row>
    <row r="16" spans="1:23">
      <c r="A16" s="38"/>
      <c r="B16" s="21">
        <v>2</v>
      </c>
      <c r="C16" s="31" t="str">
        <f t="shared" si="0"/>
        <v>0102000</v>
      </c>
      <c r="D16" s="21">
        <v>2</v>
      </c>
      <c r="E16" s="17" t="s">
        <v>483</v>
      </c>
      <c r="F16" s="30" t="s">
        <v>362</v>
      </c>
      <c r="G16" s="30" t="s">
        <v>366</v>
      </c>
      <c r="H16" s="30" t="s">
        <v>468</v>
      </c>
      <c r="I16" s="21"/>
      <c r="J16" s="17"/>
      <c r="K16" s="21">
        <v>0</v>
      </c>
      <c r="L16" s="21">
        <v>0</v>
      </c>
      <c r="M16" s="21">
        <v>1</v>
      </c>
      <c r="N16" s="17"/>
      <c r="O16" s="17"/>
      <c r="P16" s="21"/>
      <c r="Q16" s="21"/>
      <c r="R16" s="21">
        <v>0</v>
      </c>
      <c r="S16" s="21"/>
      <c r="T16" s="37" t="s">
        <v>94</v>
      </c>
      <c r="U16" s="17"/>
      <c r="V16" s="37" t="s">
        <v>94</v>
      </c>
      <c r="W16" s="17"/>
    </row>
    <row r="17" spans="1:23">
      <c r="A17" s="38"/>
      <c r="B17" s="21">
        <v>2</v>
      </c>
      <c r="C17" s="31" t="str">
        <f t="shared" si="0"/>
        <v>0103000</v>
      </c>
      <c r="D17" s="21">
        <v>2</v>
      </c>
      <c r="E17" s="17" t="s">
        <v>484</v>
      </c>
      <c r="F17" s="30" t="s">
        <v>362</v>
      </c>
      <c r="G17" s="30" t="s">
        <v>368</v>
      </c>
      <c r="H17" s="30" t="s">
        <v>468</v>
      </c>
      <c r="I17" s="21"/>
      <c r="J17" s="17"/>
      <c r="K17" s="21">
        <v>0</v>
      </c>
      <c r="L17" s="21">
        <v>0</v>
      </c>
      <c r="M17" s="21">
        <v>1</v>
      </c>
      <c r="N17" s="17"/>
      <c r="O17" s="17"/>
      <c r="P17" s="21"/>
      <c r="Q17" s="21"/>
      <c r="R17" s="21">
        <v>0</v>
      </c>
      <c r="S17" s="21"/>
      <c r="T17" s="37" t="s">
        <v>94</v>
      </c>
      <c r="U17" s="17"/>
      <c r="V17" s="37" t="s">
        <v>94</v>
      </c>
      <c r="W17" s="17"/>
    </row>
    <row r="18" spans="1:23" s="24" customFormat="1">
      <c r="A18" s="38"/>
      <c r="B18" s="22">
        <v>2</v>
      </c>
      <c r="C18" s="32" t="str">
        <f t="shared" si="0"/>
        <v>0103001</v>
      </c>
      <c r="D18" s="22">
        <v>3</v>
      </c>
      <c r="E18" s="23" t="s">
        <v>485</v>
      </c>
      <c r="F18" s="33" t="s">
        <v>362</v>
      </c>
      <c r="G18" s="33" t="s">
        <v>368</v>
      </c>
      <c r="H18" s="33" t="s">
        <v>486</v>
      </c>
      <c r="I18" s="22"/>
      <c r="J18" s="23"/>
      <c r="K18" s="22">
        <v>0</v>
      </c>
      <c r="L18" s="22">
        <v>0</v>
      </c>
      <c r="M18" s="22">
        <v>0</v>
      </c>
      <c r="N18" s="23"/>
      <c r="O18" s="23"/>
      <c r="P18" s="22">
        <v>2</v>
      </c>
      <c r="Q18" s="22"/>
      <c r="R18" s="22">
        <v>0</v>
      </c>
      <c r="S18" s="22"/>
      <c r="T18" s="37" t="s">
        <v>94</v>
      </c>
      <c r="U18" s="23"/>
      <c r="V18" s="37" t="s">
        <v>94</v>
      </c>
      <c r="W18" s="23"/>
    </row>
    <row r="19" spans="1:23" s="24" customFormat="1">
      <c r="A19" s="38"/>
      <c r="B19" s="22">
        <v>2</v>
      </c>
      <c r="C19" s="32" t="str">
        <f t="shared" si="0"/>
        <v>0103002</v>
      </c>
      <c r="D19" s="22">
        <v>3</v>
      </c>
      <c r="E19" s="23" t="s">
        <v>487</v>
      </c>
      <c r="F19" s="33" t="s">
        <v>362</v>
      </c>
      <c r="G19" s="33" t="s">
        <v>368</v>
      </c>
      <c r="H19" s="33" t="s">
        <v>488</v>
      </c>
      <c r="I19" s="22"/>
      <c r="J19" s="23"/>
      <c r="K19" s="22">
        <v>0</v>
      </c>
      <c r="L19" s="22">
        <v>0</v>
      </c>
      <c r="M19" s="22">
        <v>0</v>
      </c>
      <c r="N19" s="23"/>
      <c r="O19" s="23"/>
      <c r="P19" s="22">
        <v>2</v>
      </c>
      <c r="Q19" s="22"/>
      <c r="R19" s="22">
        <v>0</v>
      </c>
      <c r="S19" s="22"/>
      <c r="T19" s="37" t="s">
        <v>94</v>
      </c>
      <c r="U19" s="23"/>
      <c r="V19" s="37" t="s">
        <v>94</v>
      </c>
      <c r="W19" s="23"/>
    </row>
    <row r="20" spans="1:23" s="24" customFormat="1">
      <c r="A20" s="38"/>
      <c r="B20" s="22">
        <v>2</v>
      </c>
      <c r="C20" s="32" t="str">
        <f t="shared" si="0"/>
        <v>0103003</v>
      </c>
      <c r="D20" s="22">
        <v>3</v>
      </c>
      <c r="E20" s="23" t="s">
        <v>489</v>
      </c>
      <c r="F20" s="33" t="s">
        <v>362</v>
      </c>
      <c r="G20" s="33" t="s">
        <v>368</v>
      </c>
      <c r="H20" s="33" t="s">
        <v>490</v>
      </c>
      <c r="I20" s="22"/>
      <c r="J20" s="23"/>
      <c r="K20" s="22">
        <v>0</v>
      </c>
      <c r="L20" s="22">
        <v>0</v>
      </c>
      <c r="M20" s="22">
        <v>0</v>
      </c>
      <c r="N20" s="23"/>
      <c r="O20" s="23"/>
      <c r="P20" s="22">
        <v>2</v>
      </c>
      <c r="Q20" s="22"/>
      <c r="R20" s="22">
        <v>0</v>
      </c>
      <c r="S20" s="22"/>
      <c r="T20" s="37" t="s">
        <v>94</v>
      </c>
      <c r="U20" s="23"/>
      <c r="V20" s="37" t="s">
        <v>94</v>
      </c>
      <c r="W20" s="23"/>
    </row>
    <row r="21" spans="1:23">
      <c r="A21" s="38"/>
      <c r="B21" s="21">
        <v>2</v>
      </c>
      <c r="C21" s="31" t="str">
        <f t="shared" si="0"/>
        <v>0104000</v>
      </c>
      <c r="D21" s="21">
        <v>2</v>
      </c>
      <c r="E21" s="17" t="s">
        <v>491</v>
      </c>
      <c r="F21" s="30" t="s">
        <v>362</v>
      </c>
      <c r="G21" s="30" t="s">
        <v>370</v>
      </c>
      <c r="H21" s="30" t="s">
        <v>468</v>
      </c>
      <c r="I21" s="21"/>
      <c r="J21" s="17"/>
      <c r="K21" s="21">
        <v>0</v>
      </c>
      <c r="L21" s="21">
        <v>0</v>
      </c>
      <c r="M21" s="21">
        <v>1</v>
      </c>
      <c r="N21" s="17"/>
      <c r="O21" s="17"/>
      <c r="P21" s="21"/>
      <c r="Q21" s="21"/>
      <c r="R21" s="21">
        <v>0</v>
      </c>
      <c r="S21" s="21"/>
      <c r="T21" s="37" t="s">
        <v>94</v>
      </c>
      <c r="U21" s="17"/>
      <c r="V21" s="37" t="s">
        <v>94</v>
      </c>
      <c r="W21" s="17"/>
    </row>
    <row r="22" spans="1:23" s="24" customFormat="1">
      <c r="A22" s="38"/>
      <c r="B22" s="22">
        <v>2</v>
      </c>
      <c r="C22" s="32" t="str">
        <f t="shared" si="0"/>
        <v>0104001</v>
      </c>
      <c r="D22" s="22">
        <v>3</v>
      </c>
      <c r="E22" s="23" t="s">
        <v>492</v>
      </c>
      <c r="F22" s="33" t="s">
        <v>362</v>
      </c>
      <c r="G22" s="33" t="s">
        <v>370</v>
      </c>
      <c r="H22" s="33" t="s">
        <v>486</v>
      </c>
      <c r="I22" s="22">
        <v>250</v>
      </c>
      <c r="J22" s="23">
        <v>4</v>
      </c>
      <c r="K22" s="22">
        <v>0</v>
      </c>
      <c r="L22" s="22">
        <v>0</v>
      </c>
      <c r="M22" s="22">
        <v>0</v>
      </c>
      <c r="N22" s="23"/>
      <c r="O22" s="23"/>
      <c r="P22" s="22">
        <v>2</v>
      </c>
      <c r="Q22" s="22"/>
      <c r="R22" s="22">
        <v>0</v>
      </c>
      <c r="S22" s="22"/>
      <c r="T22" s="37" t="s">
        <v>94</v>
      </c>
      <c r="U22" s="23"/>
      <c r="V22" s="37" t="s">
        <v>94</v>
      </c>
      <c r="W22" s="23"/>
    </row>
    <row r="23" spans="1:23" s="24" customFormat="1">
      <c r="A23" s="38"/>
      <c r="B23" s="22">
        <v>2</v>
      </c>
      <c r="C23" s="32" t="str">
        <f t="shared" si="0"/>
        <v>0104002</v>
      </c>
      <c r="D23" s="22">
        <v>3</v>
      </c>
      <c r="E23" s="23" t="s">
        <v>493</v>
      </c>
      <c r="F23" s="33" t="s">
        <v>362</v>
      </c>
      <c r="G23" s="33" t="s">
        <v>370</v>
      </c>
      <c r="H23" s="33" t="s">
        <v>488</v>
      </c>
      <c r="I23" s="22">
        <v>250</v>
      </c>
      <c r="J23" s="23">
        <v>4</v>
      </c>
      <c r="K23" s="22">
        <v>0</v>
      </c>
      <c r="L23" s="22">
        <v>0</v>
      </c>
      <c r="M23" s="22">
        <v>0</v>
      </c>
      <c r="N23" s="23"/>
      <c r="O23" s="23"/>
      <c r="P23" s="22">
        <v>2</v>
      </c>
      <c r="Q23" s="22"/>
      <c r="R23" s="22">
        <v>0</v>
      </c>
      <c r="S23" s="22"/>
      <c r="T23" s="37" t="s">
        <v>94</v>
      </c>
      <c r="U23" s="23"/>
      <c r="V23" s="37" t="s">
        <v>94</v>
      </c>
      <c r="W23" s="23"/>
    </row>
    <row r="24" spans="1:23" s="27" customFormat="1">
      <c r="A24" s="38"/>
      <c r="B24" s="25">
        <v>2</v>
      </c>
      <c r="C24" s="34" t="str">
        <f t="shared" ref="C24:C27" si="1">F24&amp;G24&amp;H24</f>
        <v>0196000</v>
      </c>
      <c r="D24" s="25">
        <v>2</v>
      </c>
      <c r="E24" s="25" t="s">
        <v>494</v>
      </c>
      <c r="F24" s="34" t="s">
        <v>362</v>
      </c>
      <c r="G24" s="34" t="s">
        <v>495</v>
      </c>
      <c r="H24" s="34" t="s">
        <v>496</v>
      </c>
      <c r="I24" s="26"/>
      <c r="J24" s="26"/>
      <c r="K24" s="25">
        <v>0</v>
      </c>
      <c r="L24" s="25">
        <v>1</v>
      </c>
      <c r="M24" s="25">
        <v>1</v>
      </c>
      <c r="N24" s="26"/>
      <c r="O24" s="25"/>
      <c r="P24" s="25">
        <v>1</v>
      </c>
      <c r="Q24" s="25"/>
      <c r="R24" s="25">
        <v>0</v>
      </c>
      <c r="S24" s="25"/>
      <c r="T24" s="37" t="s">
        <v>94</v>
      </c>
      <c r="U24" s="25"/>
      <c r="V24" s="37" t="s">
        <v>94</v>
      </c>
      <c r="W24" s="25"/>
    </row>
    <row r="25" spans="1:23" s="27" customFormat="1">
      <c r="A25" s="38"/>
      <c r="B25" s="25">
        <v>2</v>
      </c>
      <c r="C25" s="34" t="str">
        <f t="shared" si="1"/>
        <v>0197000</v>
      </c>
      <c r="D25" s="25">
        <v>2</v>
      </c>
      <c r="E25" s="25" t="s">
        <v>497</v>
      </c>
      <c r="F25" s="34" t="s">
        <v>362</v>
      </c>
      <c r="G25" s="34" t="s">
        <v>498</v>
      </c>
      <c r="H25" s="34" t="s">
        <v>496</v>
      </c>
      <c r="I25" s="26"/>
      <c r="J25" s="26"/>
      <c r="K25" s="25">
        <v>0</v>
      </c>
      <c r="L25" s="25">
        <v>1</v>
      </c>
      <c r="M25" s="25">
        <v>1</v>
      </c>
      <c r="N25" s="26"/>
      <c r="O25" s="25"/>
      <c r="P25" s="25">
        <v>1</v>
      </c>
      <c r="Q25" s="25"/>
      <c r="R25" s="25">
        <v>0</v>
      </c>
      <c r="S25" s="25"/>
      <c r="T25" s="37" t="s">
        <v>94</v>
      </c>
      <c r="U25" s="25"/>
      <c r="V25" s="37" t="s">
        <v>94</v>
      </c>
      <c r="W25" s="25"/>
    </row>
    <row r="26" spans="1:23" s="27" customFormat="1">
      <c r="A26" s="38"/>
      <c r="B26" s="25">
        <v>2</v>
      </c>
      <c r="C26" s="34" t="str">
        <f t="shared" si="1"/>
        <v>0198000</v>
      </c>
      <c r="D26" s="25">
        <v>2</v>
      </c>
      <c r="E26" s="25" t="s">
        <v>499</v>
      </c>
      <c r="F26" s="34" t="s">
        <v>362</v>
      </c>
      <c r="G26" s="34" t="s">
        <v>500</v>
      </c>
      <c r="H26" s="34" t="s">
        <v>496</v>
      </c>
      <c r="I26" s="26"/>
      <c r="J26" s="26"/>
      <c r="K26" s="25">
        <v>0</v>
      </c>
      <c r="L26" s="25">
        <v>1</v>
      </c>
      <c r="M26" s="25">
        <v>1</v>
      </c>
      <c r="N26" s="26"/>
      <c r="O26" s="25"/>
      <c r="P26" s="25">
        <v>1</v>
      </c>
      <c r="Q26" s="25"/>
      <c r="R26" s="25">
        <v>0</v>
      </c>
      <c r="S26" s="25"/>
      <c r="T26" s="37" t="s">
        <v>94</v>
      </c>
      <c r="U26" s="25"/>
      <c r="V26" s="37" t="s">
        <v>94</v>
      </c>
      <c r="W26" s="25"/>
    </row>
    <row r="27" spans="1:23" s="27" customFormat="1">
      <c r="A27" s="38"/>
      <c r="B27" s="25">
        <v>2</v>
      </c>
      <c r="C27" s="34" t="str">
        <f t="shared" si="1"/>
        <v>0199000</v>
      </c>
      <c r="D27" s="25">
        <v>2</v>
      </c>
      <c r="E27" s="25" t="s">
        <v>501</v>
      </c>
      <c r="F27" s="34" t="s">
        <v>362</v>
      </c>
      <c r="G27" s="34" t="s">
        <v>502</v>
      </c>
      <c r="H27" s="34" t="s">
        <v>496</v>
      </c>
      <c r="I27" s="26"/>
      <c r="J27" s="26"/>
      <c r="K27" s="25">
        <v>0</v>
      </c>
      <c r="L27" s="25">
        <v>1</v>
      </c>
      <c r="M27" s="25">
        <v>1</v>
      </c>
      <c r="N27" s="26"/>
      <c r="O27" s="25"/>
      <c r="P27" s="25">
        <v>1</v>
      </c>
      <c r="Q27" s="25"/>
      <c r="R27" s="25">
        <v>0</v>
      </c>
      <c r="S27" s="25"/>
      <c r="T27" s="37" t="s">
        <v>94</v>
      </c>
      <c r="U27" s="25"/>
      <c r="V27" s="37" t="s">
        <v>94</v>
      </c>
      <c r="W27" s="25"/>
    </row>
    <row r="46" spans="1:1">
      <c r="A46" t="s">
        <v>186</v>
      </c>
    </row>
    <row r="47" spans="1:1">
      <c r="A47" t="s">
        <v>187</v>
      </c>
    </row>
    <row r="48" spans="1:1">
      <c r="A48" t="s">
        <v>452</v>
      </c>
    </row>
    <row r="49" spans="1:1">
      <c r="A49" t="s">
        <v>453</v>
      </c>
    </row>
    <row r="50" spans="1:1">
      <c r="A50" t="s">
        <v>454</v>
      </c>
    </row>
    <row r="51" spans="1:1">
      <c r="A51" t="s">
        <v>455</v>
      </c>
    </row>
    <row r="52" spans="1:1">
      <c r="A52" t="s">
        <v>456</v>
      </c>
    </row>
    <row r="53" spans="1:1">
      <c r="A53" t="s">
        <v>457</v>
      </c>
    </row>
    <row r="54" spans="1:1">
      <c r="A54" t="s">
        <v>458</v>
      </c>
    </row>
    <row r="55" spans="1:1">
      <c r="A55" t="s">
        <v>459</v>
      </c>
    </row>
    <row r="56" spans="1:1">
      <c r="A56" t="s">
        <v>460</v>
      </c>
    </row>
    <row r="57" spans="1:1">
      <c r="A57" t="s">
        <v>461</v>
      </c>
    </row>
    <row r="58" spans="1:1">
      <c r="A58" t="s">
        <v>462</v>
      </c>
    </row>
    <row r="59" spans="1:1">
      <c r="A59" t="s">
        <v>463</v>
      </c>
    </row>
    <row r="60" spans="1:1">
      <c r="A60" t="s">
        <v>464</v>
      </c>
    </row>
    <row r="61" spans="1:1">
      <c r="A61" t="s">
        <v>465</v>
      </c>
    </row>
    <row r="62" spans="1:1">
      <c r="A62" t="s">
        <v>432</v>
      </c>
    </row>
    <row r="63" spans="1:1">
      <c r="A63" t="s">
        <v>195</v>
      </c>
    </row>
    <row r="64" spans="1:1">
      <c r="A64" t="s">
        <v>196</v>
      </c>
    </row>
    <row r="65" spans="1:1">
      <c r="A65" t="s">
        <v>197</v>
      </c>
    </row>
    <row r="66" spans="1:1">
      <c r="A66" t="s">
        <v>198</v>
      </c>
    </row>
    <row r="67" spans="1:1">
      <c r="A67" t="s">
        <v>199</v>
      </c>
    </row>
    <row r="68" spans="1:1">
      <c r="A68" t="s">
        <v>200</v>
      </c>
    </row>
  </sheetData>
  <phoneticPr fontId="5"/>
  <hyperlinks>
    <hyperlink ref="T9:T27" r:id="rId1" display="aaa@email.com" xr:uid="{0065A885-73E4-45C8-8BE7-F107ECD5BA9B}"/>
    <hyperlink ref="V9:V27" r:id="rId2" display="aaa@email.com" xr:uid="{B8248F8E-DB20-462C-9F3C-AC159843E656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F552EE6C8F2E484EB36D3ACA882F266A" ma:contentTypeVersion="22" ma:contentTypeDescription="新しいドキュメントを作成します。" ma:contentTypeScope="" ma:versionID="41faaf09c6af9a0312c7dee9a42ed4de">
  <xsd:schema xmlns:xsd="http://www.w3.org/2001/XMLSchema" xmlns:xs="http://www.w3.org/2001/XMLSchema" xmlns:p="http://schemas.microsoft.com/office/2006/metadata/properties" xmlns:ns2="cd43f355-6311-41e4-9a14-568240549925" xmlns:ns3="53d8aef3-d493-4369-bdeb-ba2dfa44153e" targetNamespace="http://schemas.microsoft.com/office/2006/metadata/properties" ma:root="true" ma:fieldsID="a6dc1250808d989c0be3333184035070" ns2:_="" ns3:_="">
    <xsd:import namespace="cd43f355-6311-41e4-9a14-568240549925"/>
    <xsd:import namespace="53d8aef3-d493-4369-bdeb-ba2dfa44153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_x753b__x50cf_" minOccurs="0"/>
                <xsd:element ref="ns2:_Flow_SignoffStatu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_x65b0__x30e1__x30f3__x30d0__x30fc__x5411__x3051__x30c1__x30a7__x30c3__x30af__x30ea__x30b9__x30c8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43f355-6311-41e4-9a14-56824054992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x753b__x50cf_" ma:index="20" nillable="true" ma:displayName="画像" ma:format="Thumbnail" ma:internalName="_x753b__x50cf_">
      <xsd:simpleType>
        <xsd:restriction base="dms:Unknown"/>
      </xsd:simpleType>
    </xsd:element>
    <xsd:element name="_Flow_SignoffStatus" ma:index="21" nillable="true" ma:displayName="承認の状態" ma:internalName="_x627f__x8a8d__x306e__x72b6__x614b_">
      <xsd:simpleType>
        <xsd:restriction base="dms:Text"/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画像タグ" ma:readOnly="false" ma:fieldId="{5cf76f15-5ced-4ddc-b409-7134ff3c332f}" ma:taxonomyMulti="true" ma:sspId="edf984eb-8295-4699-af7d-7633e7689f4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8" nillable="true" ma:displayName="MediaServiceBillingMetadata" ma:hidden="true" ma:internalName="MediaServiceBillingMetadata" ma:readOnly="true">
      <xsd:simpleType>
        <xsd:restriction base="dms:Note"/>
      </xsd:simpleType>
    </xsd:element>
    <xsd:element name="_x65b0__x30e1__x30f3__x30d0__x30fc__x5411__x3051__x30c1__x30a7__x30c3__x30af__x30ea__x30b9__x30c8_" ma:index="29" nillable="true" ma:displayName="リンク" ma:format="Hyperlink" ma:internalName="_x65b0__x30e1__x30f3__x30d0__x30fc__x5411__x3051__x30c1__x30a7__x30c3__x30af__x30ea__x30b9__x30c8_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d8aef3-d493-4369-bdeb-ba2dfa44153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9e836aba-6b05-4188-b6b4-872e047b8d29}" ma:internalName="TaxCatchAll" ma:showField="CatchAllData" ma:web="53d8aef3-d493-4369-bdeb-ba2dfa44153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d43f355-6311-41e4-9a14-568240549925">
      <Terms xmlns="http://schemas.microsoft.com/office/infopath/2007/PartnerControls"/>
    </lcf76f155ced4ddcb4097134ff3c332f>
    <_x753b__x50cf_ xmlns="cd43f355-6311-41e4-9a14-568240549925" xsi:nil="true"/>
    <_x65b0__x30e1__x30f3__x30d0__x30fc__x5411__x3051__x30c1__x30a7__x30c3__x30af__x30ea__x30b9__x30c8_ xmlns="cd43f355-6311-41e4-9a14-568240549925">
      <Url xsi:nil="true"/>
      <Description xsi:nil="true"/>
    </_x65b0__x30e1__x30f3__x30d0__x30fc__x5411__x3051__x30c1__x30a7__x30c3__x30af__x30ea__x30b9__x30c8_>
    <_Flow_SignoffStatus xmlns="cd43f355-6311-41e4-9a14-568240549925" xsi:nil="true"/>
    <TaxCatchAll xmlns="53d8aef3-d493-4369-bdeb-ba2dfa44153e" xsi:nil="true"/>
  </documentManagement>
</p:properties>
</file>

<file path=customXml/itemProps1.xml><?xml version="1.0" encoding="utf-8"?>
<ds:datastoreItem xmlns:ds="http://schemas.openxmlformats.org/officeDocument/2006/customXml" ds:itemID="{2A65C5C5-3113-4AAD-8079-E60E09ED8CAE}"/>
</file>

<file path=customXml/itemProps2.xml><?xml version="1.0" encoding="utf-8"?>
<ds:datastoreItem xmlns:ds="http://schemas.openxmlformats.org/officeDocument/2006/customXml" ds:itemID="{883A3BCF-A9CF-4FC9-8A55-FC691E915CCF}"/>
</file>

<file path=customXml/itemProps3.xml><?xml version="1.0" encoding="utf-8"?>
<ds:datastoreItem xmlns:ds="http://schemas.openxmlformats.org/officeDocument/2006/customXml" ds:itemID="{20698EE1-BCF7-4CF4-84CE-EB93FF1B71D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佐藤　裕樹</dc:creator>
  <cp:keywords/>
  <dc:description/>
  <cp:lastModifiedBy>加藤　英里奈</cp:lastModifiedBy>
  <cp:revision/>
  <dcterms:created xsi:type="dcterms:W3CDTF">2021-04-01T04:30:51Z</dcterms:created>
  <dcterms:modified xsi:type="dcterms:W3CDTF">2025-06-30T01:06:54Z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0x010100F552EE6C8F2E484EB36D3ACA882F266A</vt:lpwstr>
  </property>
  <property fmtid="{D5CDD505-2E9C-101B-9397-08002B2CF9AE}" pid="3" name="MediaServiceImageTags">
    <vt:lpwstr/>
  </property>
  <property fmtid="{D5CDD505-2E9C-101B-9397-08002B2CF9AE}" pid="4" name="Order">
    <vt:r8>10799200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